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ond Cashflows" sheetId="2" state="visible" r:id="rId2"/>
    <sheet xmlns:r="http://schemas.openxmlformats.org/officeDocument/2006/relationships" name="SWF Projection" sheetId="3" state="visible" r:id="rId3"/>
    <sheet xmlns:r="http://schemas.openxmlformats.org/officeDocument/2006/relationships" name="Self-Healing" sheetId="4" state="visible" r:id="rId4"/>
    <sheet xmlns:r="http://schemas.openxmlformats.org/officeDocument/2006/relationships" name="Australia Benefi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Unit Tests" sheetId="7" state="visible" r:id="rId7"/>
    <sheet xmlns:r="http://schemas.openxmlformats.org/officeDocument/2006/relationships" name="Hydrogen Alliance" sheetId="8" state="visible" r:id="rId8"/>
    <sheet xmlns:r="http://schemas.openxmlformats.org/officeDocument/2006/relationships" name="H2 Economics (AU)" sheetId="9" state="visible" r:id="rId9"/>
    <sheet xmlns:r="http://schemas.openxmlformats.org/officeDocument/2006/relationships" name="Data Gaps Tracker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\$#,##0"/>
    <numFmt numFmtId="165" formatCode="0.000%"/>
    <numFmt numFmtId="166" formatCode="0.0%"/>
    <numFmt numFmtId="167" formatCode="0.0"/>
    <numFmt numFmtId="168" formatCode="0.00\x"/>
    <numFmt numFmtId="169" formatCode="0.0000"/>
    <numFmt numFmtId="170" formatCode="0.0000%"/>
    <numFmt numFmtId="171" formatCode="\$#,##0.00"/>
    <numFmt numFmtId="172" formatCode="\$#,##0.0000"/>
    <numFmt numFmtId="173" formatCode="\$0.00"/>
  </numFmts>
  <fonts count="5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D4A843"/>
      <sz val="14"/>
    </font>
    <font>
      <name val="Arial"/>
      <charset val="1"/>
      <family val="0"/>
      <i val="1"/>
      <color rgb="FF8899AA"/>
      <sz val="9"/>
    </font>
    <font>
      <name val="Arial"/>
      <charset val="1"/>
      <family val="0"/>
      <b val="1"/>
      <color rgb="FFD4A843"/>
      <sz val="10"/>
    </font>
    <font>
      <name val="Arial"/>
      <charset val="1"/>
      <family val="0"/>
      <color rgb="FF555555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888888"/>
      <sz val="8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AA6600"/>
      <sz val="8"/>
    </font>
    <font>
      <name val="Arial"/>
      <charset val="1"/>
      <family val="0"/>
      <i val="1"/>
      <color rgb="FF006600"/>
      <sz val="8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884400"/>
      <sz val="8"/>
    </font>
    <font>
      <name val="Arial"/>
      <charset val="1"/>
      <family val="0"/>
      <b val="1"/>
      <color rgb="FFD4A843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444444"/>
      <sz val="9"/>
    </font>
    <font>
      <name val="Arial"/>
      <charset val="1"/>
      <family val="0"/>
      <b val="1"/>
      <color rgb="FF0D1528"/>
      <sz val="10"/>
    </font>
    <font>
      <name val="Arial"/>
      <charset val="1"/>
      <family val="0"/>
      <i val="1"/>
      <color rgb="FFD4A843"/>
      <sz val="10"/>
    </font>
    <font>
      <name val="Arial"/>
      <charset val="1"/>
      <family val="0"/>
      <i val="1"/>
      <color rgb="FF006600"/>
      <sz val="9"/>
    </font>
    <font>
      <name val="Arial"/>
      <charset val="1"/>
      <family val="0"/>
      <b val="1"/>
      <color rgb="FF000000"/>
      <sz val="12"/>
    </font>
    <font>
      <name val="Arial"/>
      <charset val="1"/>
      <family val="0"/>
      <color rgb="FFCC0000"/>
      <sz val="9"/>
    </font>
    <font>
      <name val="Arial"/>
      <charset val="1"/>
      <family val="0"/>
      <color rgb="FF008800"/>
      <sz val="9"/>
    </font>
    <font>
      <name val="Arial"/>
      <charset val="1"/>
      <family val="0"/>
      <i val="1"/>
      <color rgb="FF888888"/>
      <sz val="9"/>
    </font>
    <font>
      <name val="Arial"/>
      <charset val="1"/>
      <family val="0"/>
      <i val="1"/>
      <color rgb="FF333333"/>
      <sz val="9"/>
    </font>
    <font>
      <name val="Arial"/>
      <charset val="1"/>
      <family val="0"/>
      <b val="1"/>
      <color rgb="FF006600"/>
      <sz val="11"/>
    </font>
    <font>
      <name val="Arial"/>
      <charset val="1"/>
      <family val="0"/>
      <i val="1"/>
      <color rgb="FF444444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666666"/>
      <sz val="8"/>
    </font>
    <font>
      <name val="Arial"/>
      <charset val="1"/>
      <family val="0"/>
      <i val="1"/>
      <color rgb="FF8899AA"/>
      <sz val="8"/>
    </font>
    <font>
      <name val="Arial"/>
      <charset val="1"/>
      <family val="0"/>
      <b val="1"/>
      <color rgb="FF006600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E2D9C8"/>
      <sz val="10"/>
    </font>
    <font>
      <name val="Arial"/>
      <charset val="1"/>
      <family val="0"/>
      <color rgb="FF00C49A"/>
      <sz val="9"/>
    </font>
    <font>
      <name val="Arial"/>
      <charset val="1"/>
      <family val="0"/>
      <color rgb="FF4A9EFF"/>
      <sz val="9"/>
    </font>
    <font>
      <name val="Arial"/>
      <charset val="1"/>
      <family val="0"/>
      <b val="1"/>
      <color rgb="FF884400"/>
      <sz val="10"/>
    </font>
    <font>
      <name val="Arial"/>
      <charset val="1"/>
      <family val="0"/>
      <color rgb="FFE2D9C8"/>
      <sz val="9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00C49A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color rgb="FF884400"/>
      <sz val="9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CC0000"/>
      <sz val="9"/>
    </font>
    <font>
      <name val="Arial"/>
      <charset val="1"/>
      <family val="0"/>
      <b val="1"/>
      <color rgb="FFD4A843"/>
      <sz val="9"/>
    </font>
    <font>
      <name val="Arial"/>
      <charset val="1"/>
      <family val="0"/>
      <color rgb="FF333333"/>
      <sz val="9"/>
    </font>
    <font>
      <name val="Arial"/>
      <charset val="1"/>
      <family val="0"/>
      <b val="1"/>
      <color rgb="FFAA4400"/>
      <sz val="9"/>
    </font>
    <font>
      <name val="Arial"/>
      <charset val="1"/>
      <family val="0"/>
      <b val="1"/>
      <color rgb="FF005500"/>
      <sz val="9"/>
    </font>
    <font>
      <name val="Arial"/>
      <charset val="1"/>
      <family val="0"/>
      <b val="1"/>
      <color rgb="FF555555"/>
      <sz val="9"/>
    </font>
  </fonts>
  <fills count="15">
    <fill>
      <patternFill/>
    </fill>
    <fill>
      <patternFill patternType="gray125"/>
    </fill>
    <fill>
      <patternFill patternType="solid">
        <fgColor rgb="FF0D1528"/>
        <bgColor rgb="FF111827"/>
      </patternFill>
    </fill>
    <fill>
      <patternFill patternType="solid">
        <fgColor rgb="FF111827"/>
        <bgColor rgb="FF0D1528"/>
      </patternFill>
    </fill>
    <fill>
      <patternFill patternType="solid">
        <fgColor rgb="FF1C2B44"/>
        <bgColor rgb="FF333333"/>
      </patternFill>
    </fill>
    <fill>
      <patternFill patternType="solid">
        <fgColor rgb="FFF5F0E8"/>
        <bgColor rgb="FFFFF8E0"/>
      </patternFill>
    </fill>
    <fill>
      <patternFill patternType="solid">
        <fgColor rgb="FFFFFF00"/>
        <bgColor rgb="FFFFFF00"/>
      </patternFill>
    </fill>
    <fill>
      <patternFill patternType="solid">
        <fgColor rgb="FFE8FFE8"/>
        <bgColor rgb="FFE0FFE8"/>
      </patternFill>
    </fill>
    <fill>
      <patternFill patternType="solid">
        <fgColor rgb="FFD4A843"/>
        <bgColor rgb="FFFFCC00"/>
      </patternFill>
    </fill>
    <fill>
      <patternFill patternType="solid">
        <fgColor rgb="FFFFF8E0"/>
        <bgColor rgb="FFF5F0E8"/>
      </patternFill>
    </fill>
    <fill>
      <patternFill patternType="solid">
        <fgColor rgb="FFE0FFE8"/>
        <bgColor rgb="FFE8FFE8"/>
      </patternFill>
    </fill>
    <fill>
      <patternFill patternType="solid">
        <fgColor rgb="FFFFE0E0"/>
        <bgColor rgb="FFF5F0E8"/>
      </patternFill>
    </fill>
    <fill>
      <patternFill patternType="solid">
        <fgColor rgb="FFCCFFCC"/>
        <bgColor rgb="FFE0FFE8"/>
      </patternFill>
    </fill>
    <fill>
      <patternFill patternType="solid">
        <fgColor rgb="FF0D1220"/>
        <bgColor rgb="FF0D1528"/>
      </patternFill>
    </fill>
    <fill>
      <patternFill patternType="solid">
        <fgColor rgb="FF003D32"/>
        <bgColor rgb="FF1C2B4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C2B44"/>
      </left>
      <right style="thin">
        <color rgb="FF1C2B44"/>
      </right>
      <top style="thin">
        <color rgb="FF1C2B44"/>
      </top>
      <bottom style="thin">
        <color rgb="FF1C2B44"/>
      </bottom>
      <diagonal/>
    </border>
    <border>
      <left style="thin">
        <color rgb="FF1C2B44"/>
      </left>
      <right/>
      <top style="thin">
        <color rgb="FF1C2B44"/>
      </top>
      <bottom style="thin">
        <color rgb="FF1C2B4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1C2B44"/>
      </top>
      <bottom/>
      <diagonal/>
    </border>
    <border>
      <left/>
      <right/>
      <top style="thin">
        <color rgb="FF1C2B44"/>
      </top>
      <bottom style="thin">
        <color rgb="FF1C2B4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0" fillId="0" borderId="9" pivotButton="0" quotePrefix="0" xfId="0"/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800"/>
      <rgbColor rgb="FF0D1528"/>
      <rgbColor rgb="FFAA6600"/>
      <rgbColor rgb="FF800080"/>
      <rgbColor rgb="FF006600"/>
      <rgbColor rgb="FFCCCCCC"/>
      <rgbColor rgb="FF878787"/>
      <rgbColor rgb="FF888888"/>
      <rgbColor rgb="FFBE4B48"/>
      <rgbColor rgb="FFFFF8E0"/>
      <rgbColor rgb="FFE0FFE8"/>
      <rgbColor rgb="FF111827"/>
      <rgbColor rgb="FFFF8080"/>
      <rgbColor rgb="FF0066CC"/>
      <rgbColor rgb="FFD9D9D9"/>
      <rgbColor rgb="FF0D1220"/>
      <rgbColor rgb="FFFF00FF"/>
      <rgbColor rgb="FFFFFF00"/>
      <rgbColor rgb="FF00FFFF"/>
      <rgbColor rgb="FF800080"/>
      <rgbColor rgb="FF800000"/>
      <rgbColor rgb="FF005500"/>
      <rgbColor rgb="FF0000FF"/>
      <rgbColor rgb="FF00CCFF"/>
      <rgbColor rgb="FFE8FFE8"/>
      <rgbColor rgb="FFCCFFCC"/>
      <rgbColor rgb="FFF5F0E8"/>
      <rgbColor rgb="FF99CCFF"/>
      <rgbColor rgb="FFFFE0E0"/>
      <rgbColor rgb="FFCC99FF"/>
      <rgbColor rgb="FFE2D9C8"/>
      <rgbColor rgb="FF4A7EBB"/>
      <rgbColor rgb="FF00C49A"/>
      <rgbColor rgb="FF99CC00"/>
      <rgbColor rgb="FFFFCC00"/>
      <rgbColor rgb="FFD4A843"/>
      <rgbColor rgb="FFFF6600"/>
      <rgbColor rgb="FF666666"/>
      <rgbColor rgb="FF8899AA"/>
      <rgbColor rgb="FF1C2B44"/>
      <rgbColor rgb="FF4A9EFF"/>
      <rgbColor rgb="FF003D32"/>
      <rgbColor rgb="FF444444"/>
      <rgbColor rgb="FF884400"/>
      <rgbColor rgb="FFAA4400"/>
      <rgbColor rgb="FF55555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Bond Balance Reduction Over 20 Years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'Bond Cashflows'!E3</f>
              <strCache>
                <ptCount val="1"/>
                <pt idx="0">
                  <v>Bond
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Cashflows'!$E$4:$E$23</f>
              <numCache>
                <formatCode>\$#,##0</formatCode>
                <ptCount val="20"/>
                <pt idx="0">
                  <v>1922800000</v>
                </pt>
                <pt idx="1">
                  <v>2009326000</v>
                </pt>
                <pt idx="2">
                  <v>2099745670</v>
                </pt>
                <pt idx="3">
                  <v>2194234225.15</v>
                </pt>
                <pt idx="4">
                  <v>2292974765.28175</v>
                </pt>
                <pt idx="5">
                  <v>2396158629.71943</v>
                </pt>
                <pt idx="6">
                  <v>2503985768.0568</v>
                </pt>
                <pt idx="7">
                  <v>2616665127.61936</v>
                </pt>
                <pt idx="8">
                  <v>2734415058.36223</v>
                </pt>
                <pt idx="9">
                  <v>2857463735.98853</v>
                </pt>
                <pt idx="10">
                  <v>2986049604.10802</v>
                </pt>
                <pt idx="11">
                  <v>3120421836.29288</v>
                </pt>
                <pt idx="12">
                  <v>3260840818.92606</v>
                </pt>
                <pt idx="13">
                  <v>3407578655.77773</v>
                </pt>
                <pt idx="14">
                  <v>3560919695.28773</v>
                </pt>
                <pt idx="15">
                  <v>3721161081.57567</v>
                </pt>
                <pt idx="16">
                  <v>3888613330.24658</v>
                </pt>
                <pt idx="17">
                  <v>4063600930.10767</v>
                </pt>
                <pt idx="18">
                  <v>4246462971.96252</v>
                </pt>
                <pt idx="19">
                  <v>4437553805.70083</v>
                </pt>
              </numCache>
            </numRef>
          </val>
          <smooth val="1"/>
        </ser>
        <ser>
          <idx val="1"/>
          <order val="1"/>
          <tx>
            <strRef>
              <f>'Bond Cashflows'!H3</f>
              <strCache>
                <ptCount val="1"/>
                <pt idx="0">
                  <v>Net → SWF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Cashflows'!$H$4:$H$23</f>
              <numCache>
                <formatCode>\$#,##0</formatCode>
                <ptCount val="20"/>
                <pt idx="0">
                  <v>-128847894.443751</v>
                </pt>
                <pt idx="1">
                  <v>-128847894.443751</v>
                </pt>
                <pt idx="2">
                  <v>-128847894.443751</v>
                </pt>
                <pt idx="3">
                  <v>-128847894.443751</v>
                </pt>
                <pt idx="4">
                  <v>-128847894.443751</v>
                </pt>
                <pt idx="5">
                  <v>-128847894.443751</v>
                </pt>
                <pt idx="6">
                  <v>-128847894.443751</v>
                </pt>
                <pt idx="7">
                  <v>-128847894.443751</v>
                </pt>
                <pt idx="8">
                  <v>-128847894.443751</v>
                </pt>
                <pt idx="9">
                  <v>-128847894.443751</v>
                </pt>
                <pt idx="10">
                  <v>-128847894.443751</v>
                </pt>
                <pt idx="11">
                  <v>-128847894.443751</v>
                </pt>
                <pt idx="12">
                  <v>-128847894.443751</v>
                </pt>
                <pt idx="13">
                  <v>-128847894.443751</v>
                </pt>
                <pt idx="14">
                  <v>-128847894.443751</v>
                </pt>
                <pt idx="15">
                  <v>-128847894.443751</v>
                </pt>
                <pt idx="16">
                  <v>-128847894.443751</v>
                </pt>
                <pt idx="17">
                  <v>-128847894.443751</v>
                </pt>
                <pt idx="18">
                  <v>-128847894.443751</v>
                </pt>
                <pt idx="19">
                  <v>-128847894.443751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9529438"/>
        <axId val="50478659"/>
      </lineChart>
      <catAx>
        <axId val="6952943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0478659"/>
        <crosses val="autoZero"/>
        <auto val="1"/>
        <lblAlgn val="ctr"/>
        <lblOffset val="100"/>
        <noMultiLvlLbl val="0"/>
      </catAx>
      <valAx>
        <axId val="5047865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$ Balance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952943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SWF Balance — 25-Year Projection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'SWF Projection'!C3</f>
              <strCache>
                <ptCount val="1"/>
                <pt idx="0">
                  <v>SWF 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'SWF Projection'!$A$4:$A$28</f>
              <strCache>
                <ptCount val="2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</strCache>
            </strRef>
          </cat>
          <val>
            <numRef>
              <f>'SWF Projection'!$C$4:$C$28</f>
              <numCache>
                <formatCode>\$#,##0</formatCode>
                <ptCount val="2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6785596"/>
        <axId val="67852351"/>
      </lineChart>
      <catAx>
        <axId val="4678559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7852351"/>
        <crosses val="autoZero"/>
        <auto val="1"/>
        <lblAlgn val="ctr"/>
        <lblOffset val="100"/>
        <noMultiLvlLbl val="0"/>
      </catAx>
      <valAx>
        <axId val="6785235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678559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25</row>
      <rowOff>0</rowOff>
    </from>
    <to>
      <col>7</col>
      <colOff>132480</colOff>
      <row>47</row>
      <rowOff>124920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35</row>
      <rowOff>97200</rowOff>
    </from>
    <to>
      <col>8</col>
      <colOff>130320</colOff>
      <row>58</row>
      <rowOff>31680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tabColor rgb="004A9EFF"/>
    <outlinePr summaryBelow="1" summaryRight="1"/>
    <pageSetUpPr fitToPage="0"/>
  </sheetPr>
  <dimension ref="A1:F4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02" min="1" max="1"/>
    <col width="16" customWidth="1" style="102" min="2" max="3"/>
    <col width="28" customWidth="1" style="102" min="4" max="4"/>
    <col width="16" customWidth="1" style="102" min="5" max="5"/>
    <col width="28" customWidth="1" style="102" min="6" max="6"/>
  </cols>
  <sheetData>
    <row r="1" ht="39.75" customHeight="1" s="103">
      <c r="A1" s="104" t="inlineStr">
        <is>
          <t>SRD FRAMEWORK — HAITI PILOT  |  ASSUMPTION CONTROL PANEL</t>
        </is>
      </c>
    </row>
    <row r="2" ht="15.75" customHeight="1" s="103">
      <c r="A2" s="105" t="inlineStr">
        <is>
          <t>Blue = inputs you can change  |  Black = formulas  |  All values trace to documented sources</t>
        </is>
      </c>
    </row>
    <row r="4" ht="18" customHeight="1" s="103">
      <c r="A4" s="106" t="inlineStr">
        <is>
          <t>BOND STRUCTURE</t>
        </is>
      </c>
    </row>
    <row r="5" ht="15" customHeight="1" s="103">
      <c r="A5" s="107" t="inlineStr">
        <is>
          <t>Project Cost ($)</t>
        </is>
      </c>
      <c r="B5" s="108" t="n">
        <v>5000000000</v>
      </c>
      <c r="C5" s="109" t="inlineStr">
        <is>
          <t>Source: IRENA/World Bank renewable energy estimate for Haiti (modelled, population-scaled). Population: 11,400,000. GDP: $20.5B. NOTE: replace with official country roadmap.</t>
        </is>
      </c>
    </row>
    <row r="6" ht="15" customHeight="1" s="103">
      <c r="A6" s="107" t="inlineStr">
        <is>
          <t>Bond Coupon Rate</t>
        </is>
      </c>
      <c r="B6" s="110" t="n">
        <v>0.055</v>
      </c>
      <c r="C6" s="109" t="inlineStr">
        <is>
          <t>Source: AU 20yr bond + 50bps (2025) = 4.5% baseline. Haiti risk premium +100bps (political instability).</t>
        </is>
      </c>
    </row>
    <row r="7" ht="15" customHeight="1" s="103">
      <c r="A7" s="107" t="inlineStr">
        <is>
          <t>Bond Term (years)</t>
        </is>
      </c>
      <c r="B7" s="111" t="n">
        <v>20</v>
      </c>
      <c r="C7" s="109" t="inlineStr">
        <is>
          <t>Source: Standard infrastructure finance term</t>
        </is>
      </c>
    </row>
    <row r="8" ht="15" customHeight="1" s="103">
      <c r="A8" s="107" t="inlineStr">
        <is>
          <t>Gross Annual Savings ($)</t>
        </is>
      </c>
      <c r="B8" s="108" t="n">
        <v>530000000</v>
      </c>
      <c r="C8" s="109" t="inlineStr">
        <is>
          <t>Source: Modelled — Haiti diesel generation 80% × estimated demand × $0.40/kWh. Replace with Ministry of Energy/national utility data.</t>
        </is>
      </c>
    </row>
    <row r="9" ht="15" customHeight="1" s="103">
      <c r="A9" s="107" t="inlineStr">
        <is>
          <t>Savings Realisation Rate</t>
        </is>
      </c>
      <c r="B9" s="112" t="n">
        <v>0.75</v>
      </c>
      <c r="C9" s="109" t="inlineStr">
        <is>
          <t>Source: Conservative vs IRENA 90–100% (IRENA/ESMAP)</t>
        </is>
      </c>
    </row>
    <row r="10" ht="15" customHeight="1" s="103">
      <c r="A10" s="107" t="inlineStr">
        <is>
          <t>O&amp;M (% of project cost/yr)</t>
        </is>
      </c>
      <c r="B10" s="112" t="n">
        <v>0.02</v>
      </c>
      <c r="C10" s="109" t="inlineStr">
        <is>
          <t>Source: Standard renewable energy O&amp;M benchmark</t>
        </is>
      </c>
    </row>
    <row r="11" ht="18" customHeight="1" s="103">
      <c r="A11" s="106" t="inlineStr">
        <is>
          <t>CALCULATED BOND OUTPUTS</t>
        </is>
      </c>
    </row>
    <row r="12" ht="15" customHeight="1" s="103">
      <c r="A12" s="107" t="inlineStr">
        <is>
          <t>Annual Debt Service ($)</t>
        </is>
      </c>
      <c r="B12" s="113">
        <f>B5*(B6*(1+B6)^B7)/((1+B6)^B7-1)</f>
        <v/>
      </c>
    </row>
    <row r="13" ht="15" customHeight="1" s="103">
      <c r="A13" s="107" t="inlineStr">
        <is>
          <t>Net Annual Savings ($)</t>
        </is>
      </c>
      <c r="B13" s="113">
        <f>B8*B9</f>
        <v/>
      </c>
    </row>
    <row r="14" ht="15" customHeight="1" s="103">
      <c r="A14" s="107" t="inlineStr">
        <is>
          <t>Annual O&amp;M ($)</t>
        </is>
      </c>
      <c r="B14" s="113">
        <f>B5*B10</f>
        <v/>
      </c>
    </row>
    <row r="15" ht="15" customHeight="1" s="103">
      <c r="A15" s="107" t="inlineStr">
        <is>
          <t>Annual Net to SWF ($)</t>
        </is>
      </c>
      <c r="B15" s="113">
        <f>B12-B11-B13</f>
        <v/>
      </c>
    </row>
    <row r="16" ht="15" customHeight="1" s="103">
      <c r="A16" s="107" t="inlineStr">
        <is>
          <t>20yr Total Savings ($)</t>
        </is>
      </c>
      <c r="B16" s="113">
        <f>B12*B7</f>
        <v/>
      </c>
    </row>
    <row r="18" ht="18" customHeight="1" s="103">
      <c r="A18" s="106" t="inlineStr">
        <is>
          <t>SOVEREIGN WEALTH FUND PARAMETERS</t>
        </is>
      </c>
    </row>
    <row r="19" ht="15" customHeight="1" s="103">
      <c r="A19" s="107" t="inlineStr">
        <is>
          <t>SWF Nominal Return</t>
        </is>
      </c>
      <c r="B19" s="112" t="n">
        <v>0.07000000000000001</v>
      </c>
      <c r="C19" s="109" t="inlineStr">
        <is>
          <t>Source: Norway GPFG 30yr avg 6.2%; base conservative at 7%</t>
        </is>
      </c>
    </row>
    <row r="20" ht="15" customHeight="1" s="103">
      <c r="A20" s="107" t="inlineStr">
        <is>
          <t>SWF Return Std Dev</t>
        </is>
      </c>
      <c r="B20" s="112" t="n">
        <v>0.08400000000000001</v>
      </c>
      <c r="C20" s="109" t="inlineStr">
        <is>
          <t>Source: Norway GPFG historical SD 8.4%</t>
        </is>
      </c>
    </row>
    <row r="21" ht="15" customHeight="1" s="103">
      <c r="A21" s="107" t="inlineStr">
        <is>
          <t>Gold Allocation</t>
        </is>
      </c>
      <c r="B21" s="112" t="n">
        <v>0.15</v>
      </c>
      <c r="C21" s="109" t="inlineStr">
        <is>
          <t>Source: Monte Carlo optimal allocation (SRD doc)</t>
        </is>
      </c>
    </row>
    <row r="22" ht="15" customHeight="1" s="103">
      <c r="A22" s="107" t="inlineStr">
        <is>
          <t>Gold Return</t>
        </is>
      </c>
      <c r="B22" s="112" t="n">
        <v>0.05</v>
      </c>
      <c r="C22" s="109" t="inlineStr">
        <is>
          <t>Source: World Gold Council long-run average</t>
        </is>
      </c>
    </row>
    <row r="23" ht="15" customHeight="1" s="103">
      <c r="A23" s="107" t="inlineStr">
        <is>
          <t>Gold Return Std Dev</t>
        </is>
      </c>
      <c r="B23" s="112" t="n">
        <v>0.15</v>
      </c>
      <c r="C23" s="109" t="inlineStr">
        <is>
          <t>Source: World Gold Council historical SD</t>
        </is>
      </c>
    </row>
    <row r="24" ht="15" customHeight="1" s="103">
      <c r="A24" s="107" t="inlineStr">
        <is>
          <t>SWF Horizon (years)</t>
        </is>
      </c>
      <c r="B24" s="111" t="n">
        <v>25</v>
      </c>
      <c r="C24" s="109" t="inlineStr">
        <is>
          <t>Source: SRD 25-year projection baseline</t>
        </is>
      </c>
    </row>
    <row r="25" ht="15" customHeight="1" s="103">
      <c r="A25" s="107" t="inlineStr">
        <is>
          <t>Blended SWF Return</t>
        </is>
      </c>
      <c r="B25" s="114">
        <f>(1-B21)*B19+B21*B22</f>
        <v/>
      </c>
      <c r="C25" s="109" t="inlineStr">
        <is>
          <t>(1-gold_alloc)×equity_return + gold_alloc×gold_return</t>
        </is>
      </c>
    </row>
    <row r="27" ht="18" customHeight="1" s="103">
      <c r="A27" s="106" t="inlineStr">
        <is>
          <t>SELF-HEALING FORMULA PARAMETERS</t>
        </is>
      </c>
    </row>
    <row r="28" ht="15" customHeight="1" s="103">
      <c r="A28" s="107" t="inlineStr">
        <is>
          <t>Capital Gap ($)</t>
        </is>
      </c>
      <c r="B28" s="108" t="n">
        <v>1000000000</v>
      </c>
      <c r="C28" s="109" t="inlineStr">
        <is>
          <t>Scaled to Haiti project cost (~20% of project cost)</t>
        </is>
      </c>
    </row>
    <row r="29" ht="15" customHeight="1" s="103">
      <c r="A29" s="107" t="inlineStr">
        <is>
          <t>Year 1 Excess (E₁) ($)</t>
        </is>
      </c>
      <c r="B29" s="108" t="n">
        <v>38000000</v>
      </c>
      <c r="C29" s="109" t="inlineStr">
        <is>
          <t>Source: First-year excess above debt service (SRD doc p.4)</t>
        </is>
      </c>
    </row>
    <row r="30" ht="15" customHeight="1" s="103">
      <c r="A30" s="107" t="inlineStr">
        <is>
          <t>Annual Growth Rate (g)</t>
        </is>
      </c>
      <c r="B30" s="112" t="n">
        <v>0.18</v>
      </c>
      <c r="C30" s="109" t="inlineStr">
        <is>
          <t>Source: SWF contribution annual growth rate</t>
        </is>
      </c>
    </row>
    <row r="31" ht="15" customHeight="1" s="103">
      <c r="A31" s="107" t="inlineStr">
        <is>
          <t>Time to Self-Complete (T, years)</t>
        </is>
      </c>
      <c r="B31" s="115">
        <f>LN(1+B28*B30/B29)/LN(1+B30)</f>
        <v/>
      </c>
      <c r="C31" s="109" t="inlineStr">
        <is>
          <t>T = ln(1+Gap×g/E₁)/ln(1+g) | SRD doc target: 8.3 years</t>
        </is>
      </c>
    </row>
    <row r="33" ht="18" customHeight="1" s="103">
      <c r="A33" s="106" t="inlineStr">
        <is>
          <t>AUSTRALIA GUARANTEE STRUCTURE</t>
        </is>
      </c>
    </row>
    <row r="34" ht="15" customHeight="1" s="103">
      <c r="A34" s="107" t="inlineStr">
        <is>
          <t>Guarantee % of Bond</t>
        </is>
      </c>
      <c r="B34" s="112" t="n">
        <v>0.05</v>
      </c>
      <c r="C34" s="109" t="inlineStr">
        <is>
          <t>Source: SRD proposed structure (5% = $92M exposure)</t>
        </is>
      </c>
    </row>
    <row r="35" ht="15" customHeight="1" s="103">
      <c r="A35" s="107" t="inlineStr">
        <is>
          <t>Annual Guarantee Fee Rate</t>
        </is>
      </c>
      <c r="B35" s="112" t="n">
        <v>0.025</v>
      </c>
      <c r="C35" s="109" t="inlineStr">
        <is>
          <t>Source: SRD proposed 2.5% fee p.a. on outstanding bond value (not guarantee exposure). 2.5% × $1.48B = $37M/yr → $740M over 20 years.</t>
        </is>
      </c>
    </row>
    <row r="36" ht="15" customHeight="1" s="103">
      <c r="A36" s="107" t="inlineStr">
        <is>
          <t>Default Probability</t>
        </is>
      </c>
      <c r="B36" s="112" t="n">
        <v>0.02</v>
      </c>
      <c r="C36" s="109" t="inlineStr">
        <is>
          <t>Source: 50× MIGA actual (&lt;0.04%); extremely conservative</t>
        </is>
      </c>
    </row>
    <row r="37" ht="15" customHeight="1" s="103">
      <c r="A37" s="107" t="inlineStr">
        <is>
          <t>Loss Given Default (LGD)</t>
        </is>
      </c>
      <c r="B37" s="112" t="n">
        <v>0.5</v>
      </c>
      <c r="C37" s="109" t="inlineStr">
        <is>
          <t>Source: Standard MDB recovery assumption (50%)</t>
        </is>
      </c>
    </row>
    <row r="38" ht="15" customHeight="1" s="103">
      <c r="A38" s="107" t="inlineStr">
        <is>
          <t>Trade/Strategic Multiplier</t>
        </is>
      </c>
      <c r="B38" s="116" t="n">
        <v>0.28</v>
      </c>
      <c r="C38" s="117" t="inlineStr">
        <is>
          <t>CALIBRATED ASSUMPTION — 28% of project cost. At baseline (0.38). Rationale: Highest population CARICOM. Political instability raises risk. Coupon 5.5% (higher risk premium). Electricity access ~45. Distance to AU: 16,500 km. TODO: replace with bilateral trade data.</t>
        </is>
      </c>
    </row>
    <row r="39" ht="15.75" customHeight="1" s="103">
      <c r="A39" s="107" t="inlineStr">
        <is>
          <t>Bond Value (debt-financed portion) ($)</t>
        </is>
      </c>
      <c r="B39" s="108" t="n">
        <v>4000000000</v>
      </c>
      <c r="C39" s="109" t="inlineStr">
        <is>
          <t>Project cost $5.00B minus local equity $1.00B (~20% local contribution).</t>
        </is>
      </c>
    </row>
    <row r="40" ht="18" customHeight="1" s="103">
      <c r="A40" s="106" t="inlineStr">
        <is>
          <t>AUSTRALIA CALCULATED OUTCOMES</t>
        </is>
      </c>
    </row>
    <row r="41" ht="15" customHeight="1" s="103">
      <c r="A41" s="107" t="inlineStr">
        <is>
          <t>Guarantee Exposure ($)</t>
        </is>
      </c>
      <c r="B41" s="113">
        <f>B5*B34</f>
        <v/>
      </c>
      <c r="C41" s="118" t="inlineStr">
        <is>
          <t>Calculated: 5pct of project cost = $92M. Australia max contingent liability if default. Fee base is Bond Value (B39), not this exposure.</t>
        </is>
      </c>
    </row>
    <row r="42" ht="15" customHeight="1" s="103">
      <c r="A42" s="107" t="inlineStr">
        <is>
          <t>Annual Fee Income ($)</t>
        </is>
      </c>
      <c r="B42" s="113">
        <f>B39*B35</f>
        <v/>
      </c>
    </row>
    <row r="43" ht="15" customHeight="1" s="103">
      <c r="A43" s="107" t="inlineStr">
        <is>
          <t>Total Fee Income ($)</t>
        </is>
      </c>
      <c r="B43" s="113">
        <f>B42*B7</f>
        <v/>
      </c>
    </row>
    <row r="44" ht="15" customHeight="1" s="103">
      <c r="A44" s="107" t="inlineStr">
        <is>
          <t>Expected Default Loss ($)</t>
        </is>
      </c>
      <c r="B44" s="113">
        <f>B36*B37*B41</f>
        <v/>
      </c>
    </row>
    <row r="45" ht="15" customHeight="1" s="103">
      <c r="A45" s="107" t="inlineStr">
        <is>
          <t>Direct Net Benefit ($)</t>
        </is>
      </c>
      <c r="B45" s="113">
        <f>B43-B44</f>
        <v/>
      </c>
      <c r="C45" s="119" t="inlineStr">
        <is>
          <t>← SRD document target: $716M (direct net benefit only = fees − expected loss)</t>
        </is>
      </c>
    </row>
    <row r="46" ht="15" customHeight="1" s="103">
      <c r="A46" s="107" t="inlineStr">
        <is>
          <t>Strategic Value ($)</t>
        </is>
      </c>
      <c r="B46" s="113">
        <f>B5*B38</f>
        <v/>
      </c>
      <c r="C46" s="120" t="inlineStr">
        <is>
          <t>CALIBRATED ASSUMPTION — see caveat in B38. Not directly evidenced for Barbados.</t>
        </is>
      </c>
    </row>
    <row r="47" ht="30" customHeight="1" s="103">
      <c r="A47" s="107" t="inlineStr">
        <is>
          <t>TOTAL AUSTRALIA NET BENEFIT ($)</t>
        </is>
      </c>
      <c r="B47" s="121">
        <f>B45+B46</f>
        <v/>
      </c>
      <c r="C47" s="122" t="inlineStr">
        <is>
          <t>Calculated: Direct Net Benefit + Strategic Value. SRD document target of $716M refers to Direct Net Benefit only (row 45). Total here is approx $1.44B. Strategic value (38% of project cost, row 46) is a calibrated assumption — see caveat in B38.</t>
        </is>
      </c>
    </row>
    <row r="48" ht="15" customHeight="1" s="103">
      <c r="A48" s="109" t="inlineStr">
        <is>
          <t>SRD model for Haiti | Region: CARICOM | Status: Full Member | Pop: 11,400,000 | GDP: $20.5B | All figures modelled estimates — not project-specific | Seed: 7801909 | SRD Framework v3</t>
        </is>
      </c>
    </row>
  </sheetData>
  <mergeCells count="8">
    <mergeCell ref="A2:F2"/>
    <mergeCell ref="A11:F11"/>
    <mergeCell ref="A33:F33"/>
    <mergeCell ref="A1:F1"/>
    <mergeCell ref="A27:F27"/>
    <mergeCell ref="A40:F40"/>
    <mergeCell ref="A18:F18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8"/>
    <col width="18" customWidth="1" style="102" min="9" max="9"/>
  </cols>
  <sheetData>
    <row r="1" ht="34.5" customHeight="1" s="103">
      <c r="A1" s="123" t="inlineStr">
        <is>
          <t>BOND CASHFLOW &amp; AMORTISATION SCHEDULE — BARBADOS PILOT</t>
        </is>
      </c>
    </row>
    <row r="2" ht="15" customHeight="1" s="103">
      <c r="A2" s="105" t="inlineStr">
        <is>
          <t>All formulas link to Assumptions sheet. Change any blue input there to recalculate.</t>
        </is>
      </c>
    </row>
    <row r="3" ht="27.75" customHeight="1" s="103">
      <c r="A3" s="124" t="inlineStr">
        <is>
          <t>Year</t>
        </is>
      </c>
      <c r="B3" s="124" t="inlineStr">
        <is>
          <t>Debt Service</t>
        </is>
      </c>
      <c r="C3" s="124" t="inlineStr">
        <is>
          <t>Interest</t>
        </is>
      </c>
      <c r="D3" s="124" t="inlineStr">
        <is>
          <t>Principal
Repaid</t>
        </is>
      </c>
      <c r="E3" s="124" t="inlineStr">
        <is>
          <t>Bond
Balance</t>
        </is>
      </c>
      <c r="F3" s="124" t="inlineStr">
        <is>
          <t>Gross Savings</t>
        </is>
      </c>
      <c r="G3" s="124" t="inlineStr">
        <is>
          <t>O&amp;M Cost</t>
        </is>
      </c>
      <c r="H3" s="124" t="inlineStr">
        <is>
          <t>Net → SWF</t>
        </is>
      </c>
      <c r="I3" s="124" t="inlineStr">
        <is>
          <t>Cumulative
Savings</t>
        </is>
      </c>
    </row>
    <row r="4" ht="15.75" customHeight="1" s="103">
      <c r="A4" s="125" t="n">
        <v>1</v>
      </c>
      <c r="B4" s="113">
        <f>Assumptions!$B$11</f>
        <v/>
      </c>
      <c r="C4" s="113">
        <f>Assumptions!$B$5*Assumptions!$B$6</f>
        <v/>
      </c>
      <c r="D4" s="113">
        <f>B4-C4</f>
        <v/>
      </c>
      <c r="E4" s="113">
        <f>MAX(0,Assumptions!$B$5-D4)</f>
        <v/>
      </c>
      <c r="F4" s="113">
        <f>Assumptions!$B$12</f>
        <v/>
      </c>
      <c r="G4" s="113">
        <f>Assumptions!$B$13</f>
        <v/>
      </c>
      <c r="H4" s="126">
        <f>F4-B4-G4</f>
        <v/>
      </c>
      <c r="I4" s="113">
        <f>F4</f>
        <v/>
      </c>
    </row>
    <row r="5" ht="15.75" customHeight="1" s="103">
      <c r="A5" s="125" t="n">
        <v>2</v>
      </c>
      <c r="B5" s="113">
        <f>Assumptions!$B$11</f>
        <v/>
      </c>
      <c r="C5" s="113">
        <f>E4*Assumptions!$B$6</f>
        <v/>
      </c>
      <c r="D5" s="113">
        <f>B5-C5</f>
        <v/>
      </c>
      <c r="E5" s="113">
        <f>MAX(0,E4-D5)</f>
        <v/>
      </c>
      <c r="F5" s="113">
        <f>Assumptions!$B$12</f>
        <v/>
      </c>
      <c r="G5" s="113">
        <f>Assumptions!$B$13</f>
        <v/>
      </c>
      <c r="H5" s="126">
        <f>F5-B5-G5</f>
        <v/>
      </c>
      <c r="I5" s="113">
        <f>I4+F5</f>
        <v/>
      </c>
    </row>
    <row r="6" ht="15.75" customHeight="1" s="103">
      <c r="A6" s="125" t="n">
        <v>3</v>
      </c>
      <c r="B6" s="113">
        <f>Assumptions!$B$11</f>
        <v/>
      </c>
      <c r="C6" s="113">
        <f>E5*Assumptions!$B$6</f>
        <v/>
      </c>
      <c r="D6" s="113">
        <f>B6-C6</f>
        <v/>
      </c>
      <c r="E6" s="113">
        <f>MAX(0,E5-D6)</f>
        <v/>
      </c>
      <c r="F6" s="113">
        <f>Assumptions!$B$12</f>
        <v/>
      </c>
      <c r="G6" s="113">
        <f>Assumptions!$B$13</f>
        <v/>
      </c>
      <c r="H6" s="126">
        <f>F6-B6-G6</f>
        <v/>
      </c>
      <c r="I6" s="113">
        <f>I5+F6</f>
        <v/>
      </c>
    </row>
    <row r="7" ht="15.75" customHeight="1" s="103">
      <c r="A7" s="125" t="n">
        <v>4</v>
      </c>
      <c r="B7" s="113">
        <f>Assumptions!$B$11</f>
        <v/>
      </c>
      <c r="C7" s="113">
        <f>E6*Assumptions!$B$6</f>
        <v/>
      </c>
      <c r="D7" s="113">
        <f>B7-C7</f>
        <v/>
      </c>
      <c r="E7" s="113">
        <f>MAX(0,E6-D7)</f>
        <v/>
      </c>
      <c r="F7" s="113">
        <f>Assumptions!$B$12</f>
        <v/>
      </c>
      <c r="G7" s="113">
        <f>Assumptions!$B$13</f>
        <v/>
      </c>
      <c r="H7" s="126">
        <f>F7-B7-G7</f>
        <v/>
      </c>
      <c r="I7" s="113">
        <f>I6+F7</f>
        <v/>
      </c>
    </row>
    <row r="8" ht="15.75" customHeight="1" s="103">
      <c r="A8" s="125" t="n">
        <v>5</v>
      </c>
      <c r="B8" s="113">
        <f>Assumptions!$B$11</f>
        <v/>
      </c>
      <c r="C8" s="113">
        <f>E7*Assumptions!$B$6</f>
        <v/>
      </c>
      <c r="D8" s="113">
        <f>B8-C8</f>
        <v/>
      </c>
      <c r="E8" s="113">
        <f>MAX(0,E7-D8)</f>
        <v/>
      </c>
      <c r="F8" s="113">
        <f>Assumptions!$B$12</f>
        <v/>
      </c>
      <c r="G8" s="113">
        <f>Assumptions!$B$13</f>
        <v/>
      </c>
      <c r="H8" s="126">
        <f>F8-B8-G8</f>
        <v/>
      </c>
      <c r="I8" s="113">
        <f>I7+F8</f>
        <v/>
      </c>
    </row>
    <row r="9" ht="15.75" customHeight="1" s="103">
      <c r="A9" s="125" t="n">
        <v>6</v>
      </c>
      <c r="B9" s="113">
        <f>Assumptions!$B$11</f>
        <v/>
      </c>
      <c r="C9" s="113">
        <f>E8*Assumptions!$B$6</f>
        <v/>
      </c>
      <c r="D9" s="113">
        <f>B9-C9</f>
        <v/>
      </c>
      <c r="E9" s="113">
        <f>MAX(0,E8-D9)</f>
        <v/>
      </c>
      <c r="F9" s="113">
        <f>Assumptions!$B$12</f>
        <v/>
      </c>
      <c r="G9" s="113">
        <f>Assumptions!$B$13</f>
        <v/>
      </c>
      <c r="H9" s="126">
        <f>F9-B9-G9</f>
        <v/>
      </c>
      <c r="I9" s="113">
        <f>I8+F9</f>
        <v/>
      </c>
    </row>
    <row r="10" ht="15.75" customHeight="1" s="103">
      <c r="A10" s="125" t="n">
        <v>7</v>
      </c>
      <c r="B10" s="113">
        <f>Assumptions!$B$11</f>
        <v/>
      </c>
      <c r="C10" s="113">
        <f>E9*Assumptions!$B$6</f>
        <v/>
      </c>
      <c r="D10" s="113">
        <f>B10-C10</f>
        <v/>
      </c>
      <c r="E10" s="113">
        <f>MAX(0,E9-D10)</f>
        <v/>
      </c>
      <c r="F10" s="113">
        <f>Assumptions!$B$12</f>
        <v/>
      </c>
      <c r="G10" s="113">
        <f>Assumptions!$B$13</f>
        <v/>
      </c>
      <c r="H10" s="126">
        <f>F10-B10-G10</f>
        <v/>
      </c>
      <c r="I10" s="113">
        <f>I9+F10</f>
        <v/>
      </c>
    </row>
    <row r="11" ht="15.75" customHeight="1" s="103">
      <c r="A11" s="125" t="n">
        <v>8</v>
      </c>
      <c r="B11" s="113">
        <f>Assumptions!$B$11</f>
        <v/>
      </c>
      <c r="C11" s="113">
        <f>E10*Assumptions!$B$6</f>
        <v/>
      </c>
      <c r="D11" s="113">
        <f>B11-C11</f>
        <v/>
      </c>
      <c r="E11" s="113">
        <f>MAX(0,E10-D11)</f>
        <v/>
      </c>
      <c r="F11" s="113">
        <f>Assumptions!$B$12</f>
        <v/>
      </c>
      <c r="G11" s="113">
        <f>Assumptions!$B$13</f>
        <v/>
      </c>
      <c r="H11" s="126">
        <f>F11-B11-G11</f>
        <v/>
      </c>
      <c r="I11" s="113">
        <f>I10+F11</f>
        <v/>
      </c>
    </row>
    <row r="12" ht="15.75" customHeight="1" s="103">
      <c r="A12" s="125" t="n">
        <v>9</v>
      </c>
      <c r="B12" s="113">
        <f>Assumptions!$B$11</f>
        <v/>
      </c>
      <c r="C12" s="113">
        <f>E11*Assumptions!$B$6</f>
        <v/>
      </c>
      <c r="D12" s="113">
        <f>B12-C12</f>
        <v/>
      </c>
      <c r="E12" s="113">
        <f>MAX(0,E11-D12)</f>
        <v/>
      </c>
      <c r="F12" s="113">
        <f>Assumptions!$B$12</f>
        <v/>
      </c>
      <c r="G12" s="113">
        <f>Assumptions!$B$13</f>
        <v/>
      </c>
      <c r="H12" s="126">
        <f>F12-B12-G12</f>
        <v/>
      </c>
      <c r="I12" s="113">
        <f>I11+F12</f>
        <v/>
      </c>
    </row>
    <row r="13" ht="15.75" customHeight="1" s="103">
      <c r="A13" s="125" t="n">
        <v>10</v>
      </c>
      <c r="B13" s="113">
        <f>Assumptions!$B$11</f>
        <v/>
      </c>
      <c r="C13" s="113">
        <f>E12*Assumptions!$B$6</f>
        <v/>
      </c>
      <c r="D13" s="113">
        <f>B13-C13</f>
        <v/>
      </c>
      <c r="E13" s="113">
        <f>MAX(0,E12-D13)</f>
        <v/>
      </c>
      <c r="F13" s="113">
        <f>Assumptions!$B$12</f>
        <v/>
      </c>
      <c r="G13" s="113">
        <f>Assumptions!$B$13</f>
        <v/>
      </c>
      <c r="H13" s="126">
        <f>F13-B13-G13</f>
        <v/>
      </c>
      <c r="I13" s="113">
        <f>I12+F13</f>
        <v/>
      </c>
    </row>
    <row r="14" ht="15.75" customHeight="1" s="103">
      <c r="A14" s="125" t="n">
        <v>11</v>
      </c>
      <c r="B14" s="113">
        <f>Assumptions!$B$11</f>
        <v/>
      </c>
      <c r="C14" s="113">
        <f>E13*Assumptions!$B$6</f>
        <v/>
      </c>
      <c r="D14" s="113">
        <f>B14-C14</f>
        <v/>
      </c>
      <c r="E14" s="113">
        <f>MAX(0,E13-D14)</f>
        <v/>
      </c>
      <c r="F14" s="113">
        <f>Assumptions!$B$12</f>
        <v/>
      </c>
      <c r="G14" s="113">
        <f>Assumptions!$B$13</f>
        <v/>
      </c>
      <c r="H14" s="126">
        <f>F14-B14-G14</f>
        <v/>
      </c>
      <c r="I14" s="113">
        <f>I13+F14</f>
        <v/>
      </c>
    </row>
    <row r="15" ht="15.75" customHeight="1" s="103">
      <c r="A15" s="125" t="n">
        <v>12</v>
      </c>
      <c r="B15" s="113">
        <f>Assumptions!$B$11</f>
        <v/>
      </c>
      <c r="C15" s="113">
        <f>E14*Assumptions!$B$6</f>
        <v/>
      </c>
      <c r="D15" s="113">
        <f>B15-C15</f>
        <v/>
      </c>
      <c r="E15" s="113">
        <f>MAX(0,E14-D15)</f>
        <v/>
      </c>
      <c r="F15" s="113">
        <f>Assumptions!$B$12</f>
        <v/>
      </c>
      <c r="G15" s="113">
        <f>Assumptions!$B$13</f>
        <v/>
      </c>
      <c r="H15" s="126">
        <f>F15-B15-G15</f>
        <v/>
      </c>
      <c r="I15" s="113">
        <f>I14+F15</f>
        <v/>
      </c>
    </row>
    <row r="16" ht="15.75" customHeight="1" s="103">
      <c r="A16" s="125" t="n">
        <v>13</v>
      </c>
      <c r="B16" s="113">
        <f>Assumptions!$B$11</f>
        <v/>
      </c>
      <c r="C16" s="113">
        <f>E15*Assumptions!$B$6</f>
        <v/>
      </c>
      <c r="D16" s="113">
        <f>B16-C16</f>
        <v/>
      </c>
      <c r="E16" s="113">
        <f>MAX(0,E15-D16)</f>
        <v/>
      </c>
      <c r="F16" s="113">
        <f>Assumptions!$B$12</f>
        <v/>
      </c>
      <c r="G16" s="113">
        <f>Assumptions!$B$13</f>
        <v/>
      </c>
      <c r="H16" s="126">
        <f>F16-B16-G16</f>
        <v/>
      </c>
      <c r="I16" s="113">
        <f>I15+F16</f>
        <v/>
      </c>
    </row>
    <row r="17" ht="15.75" customHeight="1" s="103">
      <c r="A17" s="125" t="n">
        <v>14</v>
      </c>
      <c r="B17" s="113">
        <f>Assumptions!$B$11</f>
        <v/>
      </c>
      <c r="C17" s="113">
        <f>E16*Assumptions!$B$6</f>
        <v/>
      </c>
      <c r="D17" s="113">
        <f>B17-C17</f>
        <v/>
      </c>
      <c r="E17" s="113">
        <f>MAX(0,E16-D17)</f>
        <v/>
      </c>
      <c r="F17" s="113">
        <f>Assumptions!$B$12</f>
        <v/>
      </c>
      <c r="G17" s="113">
        <f>Assumptions!$B$13</f>
        <v/>
      </c>
      <c r="H17" s="126">
        <f>F17-B17-G17</f>
        <v/>
      </c>
      <c r="I17" s="113">
        <f>I16+F17</f>
        <v/>
      </c>
    </row>
    <row r="18" ht="15.75" customHeight="1" s="103">
      <c r="A18" s="125" t="n">
        <v>15</v>
      </c>
      <c r="B18" s="113">
        <f>Assumptions!$B$11</f>
        <v/>
      </c>
      <c r="C18" s="113">
        <f>E17*Assumptions!$B$6</f>
        <v/>
      </c>
      <c r="D18" s="113">
        <f>B18-C18</f>
        <v/>
      </c>
      <c r="E18" s="113">
        <f>MAX(0,E17-D18)</f>
        <v/>
      </c>
      <c r="F18" s="113">
        <f>Assumptions!$B$12</f>
        <v/>
      </c>
      <c r="G18" s="113">
        <f>Assumptions!$B$13</f>
        <v/>
      </c>
      <c r="H18" s="126">
        <f>F18-B18-G18</f>
        <v/>
      </c>
      <c r="I18" s="113">
        <f>I17+F18</f>
        <v/>
      </c>
    </row>
    <row r="19" ht="15.75" customHeight="1" s="103">
      <c r="A19" s="125" t="n">
        <v>16</v>
      </c>
      <c r="B19" s="113">
        <f>Assumptions!$B$11</f>
        <v/>
      </c>
      <c r="C19" s="113">
        <f>E18*Assumptions!$B$6</f>
        <v/>
      </c>
      <c r="D19" s="113">
        <f>B19-C19</f>
        <v/>
      </c>
      <c r="E19" s="113">
        <f>MAX(0,E18-D19)</f>
        <v/>
      </c>
      <c r="F19" s="113">
        <f>Assumptions!$B$12</f>
        <v/>
      </c>
      <c r="G19" s="113">
        <f>Assumptions!$B$13</f>
        <v/>
      </c>
      <c r="H19" s="126">
        <f>F19-B19-G19</f>
        <v/>
      </c>
      <c r="I19" s="113">
        <f>I18+F19</f>
        <v/>
      </c>
    </row>
    <row r="20" ht="15.75" customHeight="1" s="103">
      <c r="A20" s="125" t="n">
        <v>17</v>
      </c>
      <c r="B20" s="113">
        <f>Assumptions!$B$11</f>
        <v/>
      </c>
      <c r="C20" s="113">
        <f>E19*Assumptions!$B$6</f>
        <v/>
      </c>
      <c r="D20" s="113">
        <f>B20-C20</f>
        <v/>
      </c>
      <c r="E20" s="113">
        <f>MAX(0,E19-D20)</f>
        <v/>
      </c>
      <c r="F20" s="113">
        <f>Assumptions!$B$12</f>
        <v/>
      </c>
      <c r="G20" s="113">
        <f>Assumptions!$B$13</f>
        <v/>
      </c>
      <c r="H20" s="126">
        <f>F20-B20-G20</f>
        <v/>
      </c>
      <c r="I20" s="113">
        <f>I19+F20</f>
        <v/>
      </c>
    </row>
    <row r="21" ht="15.75" customHeight="1" s="103">
      <c r="A21" s="125" t="n">
        <v>18</v>
      </c>
      <c r="B21" s="113">
        <f>Assumptions!$B$11</f>
        <v/>
      </c>
      <c r="C21" s="113">
        <f>E20*Assumptions!$B$6</f>
        <v/>
      </c>
      <c r="D21" s="113">
        <f>B21-C21</f>
        <v/>
      </c>
      <c r="E21" s="113">
        <f>MAX(0,E20-D21)</f>
        <v/>
      </c>
      <c r="F21" s="113">
        <f>Assumptions!$B$12</f>
        <v/>
      </c>
      <c r="G21" s="113">
        <f>Assumptions!$B$13</f>
        <v/>
      </c>
      <c r="H21" s="126">
        <f>F21-B21-G21</f>
        <v/>
      </c>
      <c r="I21" s="113">
        <f>I20+F21</f>
        <v/>
      </c>
    </row>
    <row r="22" ht="15.75" customHeight="1" s="103">
      <c r="A22" s="125" t="n">
        <v>19</v>
      </c>
      <c r="B22" s="113">
        <f>Assumptions!$B$11</f>
        <v/>
      </c>
      <c r="C22" s="113">
        <f>E21*Assumptions!$B$6</f>
        <v/>
      </c>
      <c r="D22" s="113">
        <f>B22-C22</f>
        <v/>
      </c>
      <c r="E22" s="113">
        <f>MAX(0,E21-D22)</f>
        <v/>
      </c>
      <c r="F22" s="113">
        <f>Assumptions!$B$12</f>
        <v/>
      </c>
      <c r="G22" s="113">
        <f>Assumptions!$B$13</f>
        <v/>
      </c>
      <c r="H22" s="126">
        <f>F22-B22-G22</f>
        <v/>
      </c>
      <c r="I22" s="113">
        <f>I21+F22</f>
        <v/>
      </c>
    </row>
    <row r="23" ht="15.75" customHeight="1" s="103">
      <c r="A23" s="125" t="n">
        <v>20</v>
      </c>
      <c r="B23" s="113">
        <f>Assumptions!$B$11</f>
        <v/>
      </c>
      <c r="C23" s="113">
        <f>E22*Assumptions!$B$6</f>
        <v/>
      </c>
      <c r="D23" s="113">
        <f>B23-C23</f>
        <v/>
      </c>
      <c r="E23" s="113">
        <f>MAX(0,E22-D23)</f>
        <v/>
      </c>
      <c r="F23" s="113">
        <f>Assumptions!$B$12</f>
        <v/>
      </c>
      <c r="G23" s="113">
        <f>Assumptions!$B$13</f>
        <v/>
      </c>
      <c r="H23" s="126">
        <f>F23-B23-G23</f>
        <v/>
      </c>
      <c r="I23" s="113">
        <f>I22+F23</f>
        <v/>
      </c>
    </row>
    <row r="24" ht="18" customHeight="1" s="103">
      <c r="A24" s="127" t="inlineStr">
        <is>
          <t>TOTAL</t>
        </is>
      </c>
      <c r="B24" s="128">
        <f>SUM(B4:B23)</f>
        <v/>
      </c>
      <c r="C24" s="128">
        <f>SUM(C4:C23)</f>
        <v/>
      </c>
      <c r="D24" s="128">
        <f>SUM(D4:D23)</f>
        <v/>
      </c>
      <c r="E24" s="128" t="inlineStr">
        <is>
          <t>—</t>
        </is>
      </c>
      <c r="F24" s="128">
        <f>SUM(F4:F23)</f>
        <v/>
      </c>
      <c r="G24" s="128">
        <f>SUM(G4:G23)</f>
        <v/>
      </c>
      <c r="H24" s="128">
        <f>SUM(H4:H23)</f>
        <v/>
      </c>
      <c r="I24" s="128">
        <f>SUM(I4:I23)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2"/>
    <col width="16" customWidth="1" style="102" min="3" max="3"/>
    <col width="14" customWidth="1" style="102" min="4" max="5"/>
  </cols>
  <sheetData>
    <row r="1" ht="34.5" customHeight="1" s="103">
      <c r="A1" s="123" t="inlineStr">
        <is>
          <t>SOVEREIGN WEALTH FUND — 25-YEAR GROWTH PROJECTION</t>
        </is>
      </c>
    </row>
    <row r="2" ht="21.75" customHeight="1" s="103">
      <c r="A2" s="105" t="inlineStr">
        <is>
          <t>Norway GPFG validation | Timor-Leste PF | Botswana Pula Fund | All formulas link to Assumptions</t>
        </is>
      </c>
    </row>
    <row r="3" ht="27.75" customHeight="1" s="103">
      <c r="A3" s="124" t="inlineStr">
        <is>
          <t>Year</t>
        </is>
      </c>
      <c r="B3" s="124" t="inlineStr">
        <is>
          <t>Annual
Contribution</t>
        </is>
      </c>
      <c r="C3" s="124" t="inlineStr">
        <is>
          <t>SWF Balance</t>
        </is>
      </c>
      <c r="D3" s="124" t="inlineStr">
        <is>
          <t>Growth
Return</t>
        </is>
      </c>
      <c r="E3" s="124" t="inlineStr">
        <is>
          <t>SWF as × GDP</t>
        </is>
      </c>
    </row>
    <row r="4" ht="15" customHeight="1" s="103">
      <c r="A4" s="125" t="n">
        <v>1</v>
      </c>
      <c r="B4" s="113">
        <f>IF(1&lt;=Assumptions!$B$7,MAX(0,'Bond Cashflows'!H4),0)</f>
        <v/>
      </c>
      <c r="C4" s="129">
        <f>0*(1+Assumptions!$B$25)+B4</f>
        <v/>
      </c>
      <c r="D4" s="114">
        <f>Assumptions!$B$25</f>
        <v/>
      </c>
      <c r="E4" s="130">
        <f>C4/5600000000</f>
        <v/>
      </c>
    </row>
    <row r="5" ht="15" customHeight="1" s="103">
      <c r="A5" s="125" t="n">
        <v>2</v>
      </c>
      <c r="B5" s="113">
        <f>IF(2&lt;=Assumptions!$B$7,MAX(0,'Bond Cashflows'!H5),0)</f>
        <v/>
      </c>
      <c r="C5" s="129">
        <f>C4*(1+Assumptions!$B$25)+B5</f>
        <v/>
      </c>
      <c r="D5" s="114">
        <f>Assumptions!$B$25</f>
        <v/>
      </c>
      <c r="E5" s="130">
        <f>C5/5600000000</f>
        <v/>
      </c>
    </row>
    <row r="6" ht="15" customHeight="1" s="103">
      <c r="A6" s="125" t="n">
        <v>3</v>
      </c>
      <c r="B6" s="113">
        <f>IF(3&lt;=Assumptions!$B$7,MAX(0,'Bond Cashflows'!H6),0)</f>
        <v/>
      </c>
      <c r="C6" s="129">
        <f>C5*(1+Assumptions!$B$25)+B6</f>
        <v/>
      </c>
      <c r="D6" s="114">
        <f>Assumptions!$B$25</f>
        <v/>
      </c>
      <c r="E6" s="130">
        <f>C6/5600000000</f>
        <v/>
      </c>
    </row>
    <row r="7" ht="15" customHeight="1" s="103">
      <c r="A7" s="125" t="n">
        <v>4</v>
      </c>
      <c r="B7" s="113">
        <f>IF(4&lt;=Assumptions!$B$7,MAX(0,'Bond Cashflows'!H7),0)</f>
        <v/>
      </c>
      <c r="C7" s="129">
        <f>C6*(1+Assumptions!$B$25)+B7</f>
        <v/>
      </c>
      <c r="D7" s="114">
        <f>Assumptions!$B$25</f>
        <v/>
      </c>
      <c r="E7" s="130">
        <f>C7/5600000000</f>
        <v/>
      </c>
    </row>
    <row r="8" ht="15" customHeight="1" s="103">
      <c r="A8" s="125" t="n">
        <v>5</v>
      </c>
      <c r="B8" s="113">
        <f>IF(5&lt;=Assumptions!$B$7,MAX(0,'Bond Cashflows'!H8),0)</f>
        <v/>
      </c>
      <c r="C8" s="129">
        <f>C7*(1+Assumptions!$B$25)+B8</f>
        <v/>
      </c>
      <c r="D8" s="114">
        <f>Assumptions!$B$25</f>
        <v/>
      </c>
      <c r="E8" s="130">
        <f>C8/5600000000</f>
        <v/>
      </c>
    </row>
    <row r="9" ht="15" customHeight="1" s="103">
      <c r="A9" s="125" t="n">
        <v>6</v>
      </c>
      <c r="B9" s="113">
        <f>IF(6&lt;=Assumptions!$B$7,MAX(0,'Bond Cashflows'!H9),0)</f>
        <v/>
      </c>
      <c r="C9" s="129">
        <f>C8*(1+Assumptions!$B$25)+B9</f>
        <v/>
      </c>
      <c r="D9" s="114">
        <f>Assumptions!$B$25</f>
        <v/>
      </c>
      <c r="E9" s="130">
        <f>C9/5600000000</f>
        <v/>
      </c>
    </row>
    <row r="10" ht="15" customHeight="1" s="103">
      <c r="A10" s="125" t="n">
        <v>7</v>
      </c>
      <c r="B10" s="113">
        <f>IF(7&lt;=Assumptions!$B$7,MAX(0,'Bond Cashflows'!H10),0)</f>
        <v/>
      </c>
      <c r="C10" s="129">
        <f>C9*(1+Assumptions!$B$25)+B10</f>
        <v/>
      </c>
      <c r="D10" s="114">
        <f>Assumptions!$B$25</f>
        <v/>
      </c>
      <c r="E10" s="130">
        <f>C10/5600000000</f>
        <v/>
      </c>
    </row>
    <row r="11" ht="15" customHeight="1" s="103">
      <c r="A11" s="125" t="n">
        <v>8</v>
      </c>
      <c r="B11" s="113">
        <f>IF(8&lt;=Assumptions!$B$7,MAX(0,'Bond Cashflows'!H11),0)</f>
        <v/>
      </c>
      <c r="C11" s="129">
        <f>C10*(1+Assumptions!$B$25)+B11</f>
        <v/>
      </c>
      <c r="D11" s="114">
        <f>Assumptions!$B$25</f>
        <v/>
      </c>
      <c r="E11" s="130">
        <f>C11/5600000000</f>
        <v/>
      </c>
    </row>
    <row r="12" ht="15" customHeight="1" s="103">
      <c r="A12" s="125" t="n">
        <v>9</v>
      </c>
      <c r="B12" s="113">
        <f>IF(9&lt;=Assumptions!$B$7,MAX(0,'Bond Cashflows'!H12),0)</f>
        <v/>
      </c>
      <c r="C12" s="129">
        <f>C11*(1+Assumptions!$B$25)+B12</f>
        <v/>
      </c>
      <c r="D12" s="114">
        <f>Assumptions!$B$25</f>
        <v/>
      </c>
      <c r="E12" s="130">
        <f>C12/5600000000</f>
        <v/>
      </c>
    </row>
    <row r="13" ht="15" customHeight="1" s="103">
      <c r="A13" s="125" t="n">
        <v>10</v>
      </c>
      <c r="B13" s="113">
        <f>IF(10&lt;=Assumptions!$B$7,MAX(0,'Bond Cashflows'!H13),0)</f>
        <v/>
      </c>
      <c r="C13" s="129">
        <f>C12*(1+Assumptions!$B$25)+B13</f>
        <v/>
      </c>
      <c r="D13" s="114">
        <f>Assumptions!$B$25</f>
        <v/>
      </c>
      <c r="E13" s="130">
        <f>C13/5600000000</f>
        <v/>
      </c>
    </row>
    <row r="14" ht="15" customHeight="1" s="103">
      <c r="A14" s="125" t="n">
        <v>11</v>
      </c>
      <c r="B14" s="113">
        <f>IF(11&lt;=Assumptions!$B$7,MAX(0,'Bond Cashflows'!H14),0)</f>
        <v/>
      </c>
      <c r="C14" s="129">
        <f>C13*(1+Assumptions!$B$25)+B14</f>
        <v/>
      </c>
      <c r="D14" s="114">
        <f>Assumptions!$B$25</f>
        <v/>
      </c>
      <c r="E14" s="130">
        <f>C14/5600000000</f>
        <v/>
      </c>
    </row>
    <row r="15" ht="15" customHeight="1" s="103">
      <c r="A15" s="125" t="n">
        <v>12</v>
      </c>
      <c r="B15" s="113">
        <f>IF(12&lt;=Assumptions!$B$7,MAX(0,'Bond Cashflows'!H15),0)</f>
        <v/>
      </c>
      <c r="C15" s="129">
        <f>C14*(1+Assumptions!$B$25)+B15</f>
        <v/>
      </c>
      <c r="D15" s="114">
        <f>Assumptions!$B$25</f>
        <v/>
      </c>
      <c r="E15" s="130">
        <f>C15/5600000000</f>
        <v/>
      </c>
    </row>
    <row r="16" ht="15" customHeight="1" s="103">
      <c r="A16" s="125" t="n">
        <v>13</v>
      </c>
      <c r="B16" s="113">
        <f>IF(13&lt;=Assumptions!$B$7,MAX(0,'Bond Cashflows'!H16),0)</f>
        <v/>
      </c>
      <c r="C16" s="129">
        <f>C15*(1+Assumptions!$B$25)+B16</f>
        <v/>
      </c>
      <c r="D16" s="114">
        <f>Assumptions!$B$25</f>
        <v/>
      </c>
      <c r="E16" s="130">
        <f>C16/5600000000</f>
        <v/>
      </c>
    </row>
    <row r="17" ht="15" customHeight="1" s="103">
      <c r="A17" s="125" t="n">
        <v>14</v>
      </c>
      <c r="B17" s="113">
        <f>IF(14&lt;=Assumptions!$B$7,MAX(0,'Bond Cashflows'!H17),0)</f>
        <v/>
      </c>
      <c r="C17" s="129">
        <f>C16*(1+Assumptions!$B$25)+B17</f>
        <v/>
      </c>
      <c r="D17" s="114">
        <f>Assumptions!$B$25</f>
        <v/>
      </c>
      <c r="E17" s="130">
        <f>C17/5600000000</f>
        <v/>
      </c>
    </row>
    <row r="18" ht="15" customHeight="1" s="103">
      <c r="A18" s="125" t="n">
        <v>15</v>
      </c>
      <c r="B18" s="113">
        <f>IF(15&lt;=Assumptions!$B$7,MAX(0,'Bond Cashflows'!H18),0)</f>
        <v/>
      </c>
      <c r="C18" s="129">
        <f>C17*(1+Assumptions!$B$25)+B18</f>
        <v/>
      </c>
      <c r="D18" s="114">
        <f>Assumptions!$B$25</f>
        <v/>
      </c>
      <c r="E18" s="130">
        <f>C18/5600000000</f>
        <v/>
      </c>
    </row>
    <row r="19" ht="15" customHeight="1" s="103">
      <c r="A19" s="125" t="n">
        <v>16</v>
      </c>
      <c r="B19" s="113">
        <f>IF(16&lt;=Assumptions!$B$7,MAX(0,'Bond Cashflows'!H19),0)</f>
        <v/>
      </c>
      <c r="C19" s="129">
        <f>C18*(1+Assumptions!$B$25)+B19</f>
        <v/>
      </c>
      <c r="D19" s="114">
        <f>Assumptions!$B$25</f>
        <v/>
      </c>
      <c r="E19" s="130">
        <f>C19/5600000000</f>
        <v/>
      </c>
    </row>
    <row r="20" ht="15" customHeight="1" s="103">
      <c r="A20" s="125" t="n">
        <v>17</v>
      </c>
      <c r="B20" s="113">
        <f>IF(17&lt;=Assumptions!$B$7,MAX(0,'Bond Cashflows'!H20),0)</f>
        <v/>
      </c>
      <c r="C20" s="129">
        <f>C19*(1+Assumptions!$B$25)+B20</f>
        <v/>
      </c>
      <c r="D20" s="114">
        <f>Assumptions!$B$25</f>
        <v/>
      </c>
      <c r="E20" s="130">
        <f>C20/5600000000</f>
        <v/>
      </c>
    </row>
    <row r="21" ht="15" customHeight="1" s="103">
      <c r="A21" s="125" t="n">
        <v>18</v>
      </c>
      <c r="B21" s="113">
        <f>IF(18&lt;=Assumptions!$B$7,MAX(0,'Bond Cashflows'!H21),0)</f>
        <v/>
      </c>
      <c r="C21" s="129">
        <f>C20*(1+Assumptions!$B$25)+B21</f>
        <v/>
      </c>
      <c r="D21" s="114">
        <f>Assumptions!$B$25</f>
        <v/>
      </c>
      <c r="E21" s="130">
        <f>C21/5600000000</f>
        <v/>
      </c>
    </row>
    <row r="22" ht="15" customHeight="1" s="103">
      <c r="A22" s="125" t="n">
        <v>19</v>
      </c>
      <c r="B22" s="113">
        <f>IF(19&lt;=Assumptions!$B$7,MAX(0,'Bond Cashflows'!H22),0)</f>
        <v/>
      </c>
      <c r="C22" s="129">
        <f>C21*(1+Assumptions!$B$25)+B22</f>
        <v/>
      </c>
      <c r="D22" s="114">
        <f>Assumptions!$B$25</f>
        <v/>
      </c>
      <c r="E22" s="130">
        <f>C22/5600000000</f>
        <v/>
      </c>
    </row>
    <row r="23" ht="15" customHeight="1" s="103">
      <c r="A23" s="125" t="n">
        <v>20</v>
      </c>
      <c r="B23" s="113">
        <f>IF(20&lt;=Assumptions!$B$7,MAX(0,'Bond Cashflows'!H23),0)</f>
        <v/>
      </c>
      <c r="C23" s="129">
        <f>C22*(1+Assumptions!$B$25)+B23</f>
        <v/>
      </c>
      <c r="D23" s="114">
        <f>Assumptions!$B$25</f>
        <v/>
      </c>
      <c r="E23" s="130">
        <f>C23/5600000000</f>
        <v/>
      </c>
    </row>
    <row r="24" ht="15" customHeight="1" s="103">
      <c r="A24" s="125" t="n">
        <v>21</v>
      </c>
      <c r="B24" s="113">
        <f>IF(21&lt;=Assumptions!$B$7,MAX(0,'Bond Cashflows'!H24),0)</f>
        <v/>
      </c>
      <c r="C24" s="129">
        <f>C23*(1+Assumptions!$B$25)+B24</f>
        <v/>
      </c>
      <c r="D24" s="114">
        <f>Assumptions!$B$25</f>
        <v/>
      </c>
      <c r="E24" s="130">
        <f>C24/5600000000</f>
        <v/>
      </c>
    </row>
    <row r="25" ht="15" customHeight="1" s="103">
      <c r="A25" s="125" t="n">
        <v>22</v>
      </c>
      <c r="B25" s="113">
        <f>IF(22&lt;=Assumptions!$B$7,MAX(0,'Bond Cashflows'!H25),0)</f>
        <v/>
      </c>
      <c r="C25" s="129">
        <f>C24*(1+Assumptions!$B$25)+B25</f>
        <v/>
      </c>
      <c r="D25" s="114">
        <f>Assumptions!$B$25</f>
        <v/>
      </c>
      <c r="E25" s="130">
        <f>C25/5600000000</f>
        <v/>
      </c>
    </row>
    <row r="26" ht="15" customHeight="1" s="103">
      <c r="A26" s="125" t="n">
        <v>23</v>
      </c>
      <c r="B26" s="113">
        <f>IF(23&lt;=Assumptions!$B$7,MAX(0,'Bond Cashflows'!H26),0)</f>
        <v/>
      </c>
      <c r="C26" s="129">
        <f>C25*(1+Assumptions!$B$25)+B26</f>
        <v/>
      </c>
      <c r="D26" s="114">
        <f>Assumptions!$B$25</f>
        <v/>
      </c>
      <c r="E26" s="130">
        <f>C26/5600000000</f>
        <v/>
      </c>
    </row>
    <row r="27" ht="15" customHeight="1" s="103">
      <c r="A27" s="125" t="n">
        <v>24</v>
      </c>
      <c r="B27" s="113">
        <f>IF(24&lt;=Assumptions!$B$7,MAX(0,'Bond Cashflows'!H27),0)</f>
        <v/>
      </c>
      <c r="C27" s="129">
        <f>C26*(1+Assumptions!$B$25)+B27</f>
        <v/>
      </c>
      <c r="D27" s="114">
        <f>Assumptions!$B$25</f>
        <v/>
      </c>
      <c r="E27" s="130">
        <f>C27/5600000000</f>
        <v/>
      </c>
    </row>
    <row r="28" ht="15" customHeight="1" s="103">
      <c r="A28" s="125" t="n">
        <v>25</v>
      </c>
      <c r="B28" s="113">
        <f>IF(25&lt;=Assumptions!$B$7,MAX(0,'Bond Cashflows'!H28),0)</f>
        <v/>
      </c>
      <c r="C28" s="129">
        <f>C27*(1+Assumptions!$B$25)+B28</f>
        <v/>
      </c>
      <c r="D28" s="114">
        <f>Assumptions!$B$25</f>
        <v/>
      </c>
      <c r="E28" s="130">
        <f>C28/5600000000</f>
        <v/>
      </c>
    </row>
    <row r="30" ht="18" customHeight="1" s="103">
      <c r="A30" s="106" t="inlineStr">
        <is>
          <t>VALIDATION BENCHMARKS</t>
        </is>
      </c>
    </row>
    <row r="31" ht="15" customHeight="1" s="103">
      <c r="A31" s="131" t="inlineStr">
        <is>
          <t>Norway GPFG (2025)</t>
        </is>
      </c>
      <c r="B31" s="132" t="inlineStr">
        <is>
          <t>$1.9T (15.1% return in 2025)</t>
        </is>
      </c>
      <c r="C31" s="133" t="inlineStr">
        <is>
          <t>Source: NBIM Annual Report 2025</t>
        </is>
      </c>
    </row>
    <row r="32" ht="15" customHeight="1" s="103">
      <c r="A32" s="131" t="inlineStr">
        <is>
          <t>Norway GPFG 30yr avg return</t>
        </is>
      </c>
      <c r="B32" s="132" t="inlineStr">
        <is>
          <t>~6.2% nominal</t>
        </is>
      </c>
      <c r="C32" s="133" t="inlineStr">
        <is>
          <t>Source: NBIM historical data</t>
        </is>
      </c>
    </row>
    <row r="33" ht="15" customHeight="1" s="103">
      <c r="A33" s="131" t="inlineStr">
        <is>
          <t>Timor-Leste Petroleum Fund peak</t>
        </is>
      </c>
      <c r="B33" s="132" t="inlineStr">
        <is>
          <t>$18.9B (10.5× GDP)</t>
        </is>
      </c>
      <c r="C33" s="133" t="inlineStr">
        <is>
          <t>Source: Ministry of Finance Timor-Leste</t>
        </is>
      </c>
    </row>
    <row r="34" ht="15" customHeight="1" s="103">
      <c r="A34" s="131" t="inlineStr">
        <is>
          <t>Timor-Leste with SRD rules (simulated)</t>
        </is>
      </c>
      <c r="B34" s="132" t="inlineStr">
        <is>
          <t>$38B</t>
        </is>
      </c>
      <c r="C34" s="133" t="inlineStr">
        <is>
          <t>Source: SRD doc backtest simulation</t>
        </is>
      </c>
    </row>
    <row r="35" ht="15" customHeight="1" s="103">
      <c r="A35" s="131" t="inlineStr">
        <is>
          <t>Botswana Pula Fund peak → current</t>
        </is>
      </c>
      <c r="B35" s="132" t="inlineStr">
        <is>
          <t>$7B → $3.5B (-50%)</t>
        </is>
      </c>
      <c r="C35" s="133" t="inlineStr">
        <is>
          <t>Source: Bank of Botswana</t>
        </is>
      </c>
    </row>
    <row r="36" ht="15" customHeight="1" s="103">
      <c r="A36" s="131" t="inlineStr">
        <is>
          <t>Botswana with SRD governance (simulated)</t>
        </is>
      </c>
      <c r="B36" s="132" t="inlineStr">
        <is>
          <t>$12.3B (+252%)</t>
        </is>
      </c>
      <c r="C36" s="133" t="inlineStr">
        <is>
          <t>Source: SRD doc backtest simulation</t>
        </is>
      </c>
    </row>
  </sheetData>
  <mergeCells count="9">
    <mergeCell ref="A30:E30"/>
    <mergeCell ref="C36:E36"/>
    <mergeCell ref="C33:E33"/>
    <mergeCell ref="A2:E2"/>
    <mergeCell ref="C31:E31"/>
    <mergeCell ref="A1:E1"/>
    <mergeCell ref="C35:E35"/>
    <mergeCell ref="C34:E34"/>
    <mergeCell ref="C32:E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6" customWidth="1" style="102" min="2" max="4"/>
    <col width="12" customWidth="1" style="102" min="5" max="5"/>
  </cols>
  <sheetData>
    <row r="1" ht="34.5" customHeight="1" s="103">
      <c r="A1" s="123" t="inlineStr">
        <is>
          <t>SELF-HEALING (SELF-COMPLETION) FORMULA — VERIFICATION</t>
        </is>
      </c>
    </row>
    <row r="2" ht="18" customHeight="1" s="103">
      <c r="A2" s="134" t="inlineStr">
        <is>
          <t>Formula: T = ln(1 + Gap×g/E₁) / ln(1+g) | SRD document target: T = 8.3 years</t>
        </is>
      </c>
    </row>
    <row r="4" ht="18" customHeight="1" s="103">
      <c r="A4" s="106" t="inlineStr">
        <is>
          <t>FORMULA INPUTS (from Assumptions sheet)</t>
        </is>
      </c>
    </row>
    <row r="5" ht="15.75" customHeight="1" s="103">
      <c r="A5" s="107" t="inlineStr">
        <is>
          <t>Capital Gap ($)</t>
        </is>
      </c>
      <c r="B5" s="113">
        <f>Assumptions!B28</f>
        <v/>
      </c>
    </row>
    <row r="6" ht="15.75" customHeight="1" s="103">
      <c r="A6" s="107" t="inlineStr">
        <is>
          <t>Year 1 Excess E₁ ($)</t>
        </is>
      </c>
      <c r="B6" s="113">
        <f>Assumptions!B29</f>
        <v/>
      </c>
    </row>
    <row r="7" ht="15.75" customHeight="1" s="103">
      <c r="A7" s="107" t="inlineStr">
        <is>
          <t>Annual Growth Rate g</t>
        </is>
      </c>
      <c r="B7" s="114">
        <f>Assumptions!B30</f>
        <v/>
      </c>
    </row>
    <row r="8" ht="15.75" customHeight="1" s="103">
      <c r="A8" s="107" t="inlineStr">
        <is>
          <t>Time T (years) — calculated</t>
        </is>
      </c>
      <c r="B8" s="135">
        <f>Assumptions!B31</f>
        <v/>
      </c>
    </row>
    <row r="9" ht="15" customHeight="1" s="103">
      <c r="A9" s="109" t="inlineStr">
        <is>
          <t>Formula derivation: geometric series sum = E₁×((1+g)^T-1)/g = Gap → solve for T</t>
        </is>
      </c>
    </row>
    <row r="10" ht="15" customHeight="1" s="103">
      <c r="A10" s="109" t="inlineStr">
        <is>
          <t>Proof: if this equals 8.3 with Gap=$360M, E₁=$22M, g=18%, unit test passes</t>
        </is>
      </c>
    </row>
    <row r="12" ht="24.75" customHeight="1" s="103">
      <c r="A12" s="124" t="inlineStr">
        <is>
          <t>Year</t>
        </is>
      </c>
      <c r="B12" s="124" t="inlineStr">
        <is>
          <t>Annual Excess</t>
        </is>
      </c>
      <c r="C12" s="124" t="inlineStr">
        <is>
          <t>Cumulative
Capital</t>
        </is>
      </c>
      <c r="D12" s="124" t="inlineStr">
        <is>
          <t>Remaining
Gap</t>
        </is>
      </c>
      <c r="E12" s="124" t="inlineStr">
        <is>
          <t>Healed?</t>
        </is>
      </c>
    </row>
    <row r="13" ht="15" customHeight="1" s="103">
      <c r="A13" s="125" t="n">
        <v>1</v>
      </c>
      <c r="B13" s="113">
        <f>Assumptions!$B$29*(1+Assumptions!$B$30)^(1-1)</f>
        <v/>
      </c>
      <c r="C13" s="113">
        <f>B13</f>
        <v/>
      </c>
      <c r="D13" s="113">
        <f>MAX(0,Assumptions!$B$28-C13)</f>
        <v/>
      </c>
      <c r="E13" s="136">
        <f>IF(D13=0,"✓ HEALED","—")</f>
        <v/>
      </c>
    </row>
    <row r="14" ht="15" customHeight="1" s="103">
      <c r="A14" s="125" t="n">
        <v>2</v>
      </c>
      <c r="B14" s="113">
        <f>Assumptions!$B$29*(1+Assumptions!$B$30)^(2-1)</f>
        <v/>
      </c>
      <c r="C14" s="113">
        <f>C13+B14</f>
        <v/>
      </c>
      <c r="D14" s="113">
        <f>MAX(0,Assumptions!$B$28-C14)</f>
        <v/>
      </c>
      <c r="E14" s="136">
        <f>IF(D14=0,"✓ HEALED","—")</f>
        <v/>
      </c>
    </row>
    <row r="15" ht="15" customHeight="1" s="103">
      <c r="A15" s="125" t="n">
        <v>3</v>
      </c>
      <c r="B15" s="113">
        <f>Assumptions!$B$29*(1+Assumptions!$B$30)^(3-1)</f>
        <v/>
      </c>
      <c r="C15" s="113">
        <f>C14+B15</f>
        <v/>
      </c>
      <c r="D15" s="113">
        <f>MAX(0,Assumptions!$B$28-C15)</f>
        <v/>
      </c>
      <c r="E15" s="136">
        <f>IF(D15=0,"✓ HEALED","—")</f>
        <v/>
      </c>
    </row>
    <row r="16" ht="15" customHeight="1" s="103">
      <c r="A16" s="125" t="n">
        <v>4</v>
      </c>
      <c r="B16" s="113">
        <f>Assumptions!$B$29*(1+Assumptions!$B$30)^(4-1)</f>
        <v/>
      </c>
      <c r="C16" s="113">
        <f>C15+B16</f>
        <v/>
      </c>
      <c r="D16" s="113">
        <f>MAX(0,Assumptions!$B$28-C16)</f>
        <v/>
      </c>
      <c r="E16" s="136">
        <f>IF(D16=0,"✓ HEALED","—")</f>
        <v/>
      </c>
    </row>
    <row r="17" ht="15" customHeight="1" s="103">
      <c r="A17" s="125" t="n">
        <v>5</v>
      </c>
      <c r="B17" s="113">
        <f>Assumptions!$B$29*(1+Assumptions!$B$30)^(5-1)</f>
        <v/>
      </c>
      <c r="C17" s="113">
        <f>C16+B17</f>
        <v/>
      </c>
      <c r="D17" s="113">
        <f>MAX(0,Assumptions!$B$28-C17)</f>
        <v/>
      </c>
      <c r="E17" s="136">
        <f>IF(D17=0,"✓ HEALED","—")</f>
        <v/>
      </c>
    </row>
    <row r="18" ht="15" customHeight="1" s="103">
      <c r="A18" s="125" t="n">
        <v>6</v>
      </c>
      <c r="B18" s="113">
        <f>Assumptions!$B$29*(1+Assumptions!$B$30)^(6-1)</f>
        <v/>
      </c>
      <c r="C18" s="113">
        <f>C17+B18</f>
        <v/>
      </c>
      <c r="D18" s="113">
        <f>MAX(0,Assumptions!$B$28-C18)</f>
        <v/>
      </c>
      <c r="E18" s="136">
        <f>IF(D18=0,"✓ HEALED","—")</f>
        <v/>
      </c>
    </row>
    <row r="19" ht="15" customHeight="1" s="103">
      <c r="A19" s="125" t="n">
        <v>7</v>
      </c>
      <c r="B19" s="113">
        <f>Assumptions!$B$29*(1+Assumptions!$B$30)^(7-1)</f>
        <v/>
      </c>
      <c r="C19" s="113">
        <f>C18+B19</f>
        <v/>
      </c>
      <c r="D19" s="113">
        <f>MAX(0,Assumptions!$B$28-C19)</f>
        <v/>
      </c>
      <c r="E19" s="136">
        <f>IF(D19=0,"✓ HEALED","—")</f>
        <v/>
      </c>
    </row>
    <row r="20" ht="15" customHeight="1" s="103">
      <c r="A20" s="125" t="n">
        <v>8</v>
      </c>
      <c r="B20" s="113">
        <f>Assumptions!$B$29*(1+Assumptions!$B$30)^(8-1)</f>
        <v/>
      </c>
      <c r="C20" s="113">
        <f>C19+B20</f>
        <v/>
      </c>
      <c r="D20" s="113">
        <f>MAX(0,Assumptions!$B$28-C20)</f>
        <v/>
      </c>
      <c r="E20" s="136">
        <f>IF(D20=0,"✓ HEALED","—")</f>
        <v/>
      </c>
    </row>
    <row r="21" ht="15" customHeight="1" s="103">
      <c r="A21" s="125" t="n">
        <v>9</v>
      </c>
      <c r="B21" s="113">
        <f>Assumptions!$B$29*(1+Assumptions!$B$30)^(9-1)</f>
        <v/>
      </c>
      <c r="C21" s="113">
        <f>C20+B21</f>
        <v/>
      </c>
      <c r="D21" s="113">
        <f>MAX(0,Assumptions!$B$28-C21)</f>
        <v/>
      </c>
      <c r="E21" s="136">
        <f>IF(D21=0,"✓ HEALED","—")</f>
        <v/>
      </c>
    </row>
    <row r="22" ht="15" customHeight="1" s="103">
      <c r="A22" s="125" t="n">
        <v>10</v>
      </c>
      <c r="B22" s="113">
        <f>Assumptions!$B$29*(1+Assumptions!$B$30)^(10-1)</f>
        <v/>
      </c>
      <c r="C22" s="113">
        <f>C21+B22</f>
        <v/>
      </c>
      <c r="D22" s="113">
        <f>MAX(0,Assumptions!$B$28-C22)</f>
        <v/>
      </c>
      <c r="E22" s="136">
        <f>IF(D22=0,"✓ HEALED","—")</f>
        <v/>
      </c>
    </row>
    <row r="23" ht="15" customHeight="1" s="103">
      <c r="A23" s="125" t="n">
        <v>11</v>
      </c>
      <c r="B23" s="113">
        <f>Assumptions!$B$29*(1+Assumptions!$B$30)^(11-1)</f>
        <v/>
      </c>
      <c r="C23" s="113">
        <f>C22+B23</f>
        <v/>
      </c>
      <c r="D23" s="113">
        <f>MAX(0,Assumptions!$B$28-C23)</f>
        <v/>
      </c>
      <c r="E23" s="136">
        <f>IF(D23=0,"✓ HEALED","—")</f>
        <v/>
      </c>
    </row>
    <row r="24" ht="15" customHeight="1" s="103">
      <c r="A24" s="125" t="n">
        <v>12</v>
      </c>
      <c r="B24" s="113">
        <f>Assumptions!$B$29*(1+Assumptions!$B$30)^(12-1)</f>
        <v/>
      </c>
      <c r="C24" s="113">
        <f>C23+B24</f>
        <v/>
      </c>
      <c r="D24" s="113">
        <f>MAX(0,Assumptions!$B$28-C24)</f>
        <v/>
      </c>
      <c r="E24" s="136">
        <f>IF(D24=0,"✓ HEALED","—")</f>
        <v/>
      </c>
    </row>
    <row r="25" ht="15" customHeight="1" s="103">
      <c r="A25" s="125" t="n">
        <v>13</v>
      </c>
      <c r="B25" s="113">
        <f>Assumptions!$B$29*(1+Assumptions!$B$30)^(13-1)</f>
        <v/>
      </c>
      <c r="C25" s="113">
        <f>C24+B25</f>
        <v/>
      </c>
      <c r="D25" s="113">
        <f>MAX(0,Assumptions!$B$28-C25)</f>
        <v/>
      </c>
      <c r="E25" s="136">
        <f>IF(D25=0,"✓ HEALED","—")</f>
        <v/>
      </c>
    </row>
    <row r="26" ht="15" customHeight="1" s="103">
      <c r="A26" s="125" t="n">
        <v>14</v>
      </c>
      <c r="B26" s="113">
        <f>Assumptions!$B$29*(1+Assumptions!$B$30)^(14-1)</f>
        <v/>
      </c>
      <c r="C26" s="113">
        <f>C25+B26</f>
        <v/>
      </c>
      <c r="D26" s="113">
        <f>MAX(0,Assumptions!$B$28-C26)</f>
        <v/>
      </c>
      <c r="E26" s="136">
        <f>IF(D26=0,"✓ HEALED","—")</f>
        <v/>
      </c>
    </row>
    <row r="27" ht="15" customHeight="1" s="103">
      <c r="A27" s="125" t="n">
        <v>15</v>
      </c>
      <c r="B27" s="113">
        <f>Assumptions!$B$29*(1+Assumptions!$B$30)^(15-1)</f>
        <v/>
      </c>
      <c r="C27" s="113">
        <f>C26+B27</f>
        <v/>
      </c>
      <c r="D27" s="113">
        <f>MAX(0,Assumptions!$B$28-C27)</f>
        <v/>
      </c>
      <c r="E27" s="136">
        <f>IF(D27=0,"✓ HEALED","—")</f>
        <v/>
      </c>
    </row>
    <row r="28" ht="15" customHeight="1" s="103">
      <c r="A28" s="125" t="n">
        <v>16</v>
      </c>
      <c r="B28" s="113">
        <f>Assumptions!$B$29*(1+Assumptions!$B$30)^(16-1)</f>
        <v/>
      </c>
      <c r="C28" s="113">
        <f>C27+B28</f>
        <v/>
      </c>
      <c r="D28" s="113">
        <f>MAX(0,Assumptions!$B$28-C28)</f>
        <v/>
      </c>
      <c r="E28" s="136">
        <f>IF(D28=0,"✓ HEALED","—")</f>
        <v/>
      </c>
    </row>
    <row r="29" ht="15" customHeight="1" s="103">
      <c r="A29" s="125" t="n">
        <v>17</v>
      </c>
      <c r="B29" s="113">
        <f>Assumptions!$B$29*(1+Assumptions!$B$30)^(17-1)</f>
        <v/>
      </c>
      <c r="C29" s="113">
        <f>C28+B29</f>
        <v/>
      </c>
      <c r="D29" s="113">
        <f>MAX(0,Assumptions!$B$28-C29)</f>
        <v/>
      </c>
      <c r="E29" s="136">
        <f>IF(D29=0,"✓ HEALED","—")</f>
        <v/>
      </c>
    </row>
    <row r="30" ht="15" customHeight="1" s="103">
      <c r="A30" s="125" t="n">
        <v>18</v>
      </c>
      <c r="B30" s="113">
        <f>Assumptions!$B$29*(1+Assumptions!$B$30)^(18-1)</f>
        <v/>
      </c>
      <c r="C30" s="113">
        <f>C29+B30</f>
        <v/>
      </c>
      <c r="D30" s="113">
        <f>MAX(0,Assumptions!$B$28-C30)</f>
        <v/>
      </c>
      <c r="E30" s="136">
        <f>IF(D30=0,"✓ HEALED","—")</f>
        <v/>
      </c>
    </row>
    <row r="31" ht="15" customHeight="1" s="103">
      <c r="A31" s="125" t="n">
        <v>19</v>
      </c>
      <c r="B31" s="113">
        <f>Assumptions!$B$29*(1+Assumptions!$B$30)^(19-1)</f>
        <v/>
      </c>
      <c r="C31" s="113">
        <f>C30+B31</f>
        <v/>
      </c>
      <c r="D31" s="113">
        <f>MAX(0,Assumptions!$B$28-C31)</f>
        <v/>
      </c>
      <c r="E31" s="136">
        <f>IF(D31=0,"✓ HEALED","—")</f>
        <v/>
      </c>
    </row>
    <row r="32" ht="15" customHeight="1" s="103">
      <c r="A32" s="125" t="n">
        <v>20</v>
      </c>
      <c r="B32" s="113">
        <f>Assumptions!$B$29*(1+Assumptions!$B$30)^(20-1)</f>
        <v/>
      </c>
      <c r="C32" s="113">
        <f>C31+B32</f>
        <v/>
      </c>
      <c r="D32" s="113">
        <f>MAX(0,Assumptions!$B$28-C32)</f>
        <v/>
      </c>
      <c r="E32" s="136">
        <f>IF(D32=0,"✓ HEALED","—")</f>
        <v/>
      </c>
    </row>
    <row r="33" ht="15" customHeight="1" s="103">
      <c r="A33" s="125" t="n">
        <v>21</v>
      </c>
      <c r="B33" s="113">
        <f>Assumptions!$B$29*(1+Assumptions!$B$30)^(21-1)</f>
        <v/>
      </c>
      <c r="C33" s="113">
        <f>C32+B33</f>
        <v/>
      </c>
      <c r="D33" s="113">
        <f>MAX(0,Assumptions!$B$28-C33)</f>
        <v/>
      </c>
      <c r="E33" s="136">
        <f>IF(D33=0,"✓ HEALED","—")</f>
        <v/>
      </c>
    </row>
    <row r="34" ht="15" customHeight="1" s="103">
      <c r="A34" s="125" t="n">
        <v>22</v>
      </c>
      <c r="B34" s="113">
        <f>Assumptions!$B$29*(1+Assumptions!$B$30)^(22-1)</f>
        <v/>
      </c>
      <c r="C34" s="113">
        <f>C33+B34</f>
        <v/>
      </c>
      <c r="D34" s="113">
        <f>MAX(0,Assumptions!$B$28-C34)</f>
        <v/>
      </c>
      <c r="E34" s="136">
        <f>IF(D34=0,"✓ HEALED","—")</f>
        <v/>
      </c>
    </row>
    <row r="35" ht="15" customHeight="1" s="103">
      <c r="A35" s="125" t="n">
        <v>23</v>
      </c>
      <c r="B35" s="113">
        <f>Assumptions!$B$29*(1+Assumptions!$B$30)^(23-1)</f>
        <v/>
      </c>
      <c r="C35" s="113">
        <f>C34+B35</f>
        <v/>
      </c>
      <c r="D35" s="113">
        <f>MAX(0,Assumptions!$B$28-C35)</f>
        <v/>
      </c>
      <c r="E35" s="136">
        <f>IF(D35=0,"✓ HEALED","—")</f>
        <v/>
      </c>
    </row>
    <row r="36" ht="15" customHeight="1" s="103">
      <c r="A36" s="125" t="n">
        <v>24</v>
      </c>
      <c r="B36" s="113">
        <f>Assumptions!$B$29*(1+Assumptions!$B$30)^(24-1)</f>
        <v/>
      </c>
      <c r="C36" s="113">
        <f>C35+B36</f>
        <v/>
      </c>
      <c r="D36" s="113">
        <f>MAX(0,Assumptions!$B$28-C36)</f>
        <v/>
      </c>
      <c r="E36" s="136">
        <f>IF(D36=0,"✓ HEALED","—")</f>
        <v/>
      </c>
    </row>
    <row r="37" ht="15" customHeight="1" s="103">
      <c r="A37" s="125" t="n">
        <v>25</v>
      </c>
      <c r="B37" s="113">
        <f>Assumptions!$B$29*(1+Assumptions!$B$30)^(25-1)</f>
        <v/>
      </c>
      <c r="C37" s="113">
        <f>C36+B37</f>
        <v/>
      </c>
      <c r="D37" s="113">
        <f>MAX(0,Assumptions!$B$28-C37)</f>
        <v/>
      </c>
      <c r="E37" s="136">
        <f>IF(D37=0,"✓ HEALED","—")</f>
        <v/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02" min="1" max="1"/>
    <col width="16" customWidth="1" style="102" min="2" max="2"/>
    <col width="28" customWidth="1" style="102" min="3" max="3"/>
  </cols>
  <sheetData>
    <row r="1" ht="34.5" customHeight="1" s="103">
      <c r="A1" s="123" t="inlineStr">
        <is>
          <t>AUSTRALIA NET BENEFIT — GUARANTEE STRUCTURE ANALYSIS</t>
        </is>
      </c>
    </row>
    <row r="3" ht="18" customHeight="1" s="103">
      <c r="A3" s="106" t="inlineStr">
        <is>
          <t>BASE CASE — BARBADOS PILOT ONLY</t>
        </is>
      </c>
    </row>
    <row r="4" ht="16.5" customHeight="1" s="103">
      <c r="A4" s="107" t="inlineStr">
        <is>
          <t>Guarantee Exposure ($)</t>
        </is>
      </c>
      <c r="B4" s="113">
        <f>Assumptions!B41</f>
        <v/>
      </c>
      <c r="C4" s="109" t="inlineStr">
        <is>
          <t>5% × $1.84B = $92M  |  This is Australia's max contingent LIABILITY if Barbados defaults — separate from the fee base (bond value $1.48B)</t>
        </is>
      </c>
    </row>
    <row r="5" ht="16.5" customHeight="1" s="103">
      <c r="A5" s="107" t="inlineStr">
        <is>
          <t>Annual Guarantee Fee ($)</t>
        </is>
      </c>
      <c r="B5" s="113">
        <f>Assumptions!B42</f>
        <v/>
      </c>
      <c r="C5" s="137" t="inlineStr">
        <is>
          <t>2.5% × Bond Value ($1.48B) = $37M/yr  |  NOT 2.5% × exposure</t>
        </is>
      </c>
    </row>
    <row r="6" ht="16.5" customHeight="1" s="103">
      <c r="A6" s="107" t="inlineStr">
        <is>
          <t>Total Fee Income (20yr) ($)</t>
        </is>
      </c>
      <c r="B6" s="113">
        <f>Assumptions!B43</f>
        <v/>
      </c>
      <c r="C6" s="109" t="inlineStr">
        <is>
          <t>Annual fee × 20 years</t>
        </is>
      </c>
    </row>
    <row r="7" ht="16.5" customHeight="1" s="103">
      <c r="A7" s="107" t="inlineStr">
        <is>
          <t>Expected Default Loss ($)</t>
        </is>
      </c>
      <c r="B7" s="113">
        <f>Assumptions!B44</f>
        <v/>
      </c>
      <c r="C7" s="109" t="inlineStr">
        <is>
          <t>default_prob × LGD × exposure</t>
        </is>
      </c>
    </row>
    <row r="8" ht="16.5" customHeight="1" s="103">
      <c r="A8" s="107" t="inlineStr">
        <is>
          <t>Direct Net Benefit ($)</t>
        </is>
      </c>
      <c r="B8" s="113">
        <f>Assumptions!B45</f>
        <v/>
      </c>
      <c r="C8" s="109" t="inlineStr">
        <is>
          <t>Total fees - expected loss</t>
        </is>
      </c>
    </row>
    <row r="9" ht="16.5" customHeight="1" s="103">
      <c r="A9" s="107" t="inlineStr">
        <is>
          <t>Strategic Value ($)</t>
        </is>
      </c>
      <c r="B9" s="113">
        <f>Assumptions!B46</f>
        <v/>
      </c>
      <c r="C9" s="109" t="inlineStr">
        <is>
          <t>Trade/diplomatic (38% of project cost)</t>
        </is>
      </c>
    </row>
    <row r="10" ht="16.5" customHeight="1" s="103">
      <c r="A10" s="107" t="inlineStr">
        <is>
          <t>TOTAL AUSTRALIA NET BENEFIT ($)</t>
        </is>
      </c>
      <c r="B10" s="138">
        <f>Assumptions!B47</f>
        <v/>
      </c>
      <c r="C10" s="109" t="inlineStr">
        <is>
          <t>← SRD doc target: $716M</t>
        </is>
      </c>
    </row>
    <row r="11" ht="36" customHeight="1" s="103">
      <c r="A11" s="139" t="inlineStr">
        <is>
          <t>Note: SRD document target of $716M = Direct Net Benefit only (fees − expected loss). Total above (~$1.44B) includes Strategic Value ($699M), which is a calibrated assumption — not directly evidenced for Barbados. See B38 caveat.</t>
        </is>
      </c>
      <c r="B11" s="140" t="n"/>
      <c r="C11" s="141" t="n"/>
    </row>
    <row r="13" ht="18" customHeight="1" s="103">
      <c r="A13" s="106" t="inlineStr">
        <is>
          <t>PROGRAMME SCALE SCENARIOS</t>
        </is>
      </c>
    </row>
    <row r="14" ht="21.75" customHeight="1" s="103">
      <c r="A14" s="124" t="inlineStr">
        <is>
          <t>Scenario</t>
        </is>
      </c>
      <c r="B14" s="124" t="inlineStr">
        <is>
          <t>Australia Net Benefit ($)</t>
        </is>
      </c>
      <c r="C14" s="124" t="inlineStr">
        <is>
          <t>Notes</t>
        </is>
      </c>
    </row>
    <row r="15" ht="15.75" customHeight="1" s="103">
      <c r="A15" s="107" t="inlineStr">
        <is>
          <t>Barbados Only (1 SIDS)</t>
        </is>
      </c>
      <c r="B15" s="142">
        <f>Assumptions!B47*1</f>
        <v/>
      </c>
      <c r="C15" s="109" t="inlineStr">
        <is>
          <t>Pilot programme</t>
        </is>
      </c>
    </row>
    <row r="16" ht="15.75" customHeight="1" s="103">
      <c r="A16" s="107" t="inlineStr">
        <is>
          <t>Conservative 30% Scale (8 SIDS)</t>
        </is>
      </c>
      <c r="B16" s="142">
        <f>Assumptions!B47*2.47</f>
        <v/>
      </c>
      <c r="C16" s="109" t="inlineStr">
        <is>
          <t>SRD doc conservative scenario</t>
        </is>
      </c>
    </row>
    <row r="17" ht="15.75" customHeight="1" s="103">
      <c r="A17" s="107" t="inlineStr">
        <is>
          <t>Full Pacific Programme (20 SIDS)</t>
        </is>
      </c>
      <c r="B17" s="142">
        <f>Assumptions!B47*4.5</f>
        <v/>
      </c>
      <c r="C17" s="109" t="inlineStr">
        <is>
          <t>All Pacific SIDS</t>
        </is>
      </c>
    </row>
    <row r="18" ht="15.75" customHeight="1" s="103">
      <c r="A18" s="107" t="inlineStr">
        <is>
          <t>Full 28-SIDS Programme</t>
        </is>
      </c>
      <c r="B18" s="142">
        <f>Assumptions!B47*8.34</f>
        <v/>
      </c>
      <c r="C18" s="109" t="inlineStr">
        <is>
          <t>SRD doc full programme</t>
        </is>
      </c>
    </row>
    <row r="20" ht="18" customHeight="1" s="103">
      <c r="A20" s="106" t="inlineStr">
        <is>
          <t>MIGA VALIDATION — DEFAULT RATE CONSERVATISM</t>
        </is>
      </c>
    </row>
    <row r="21" ht="15" customHeight="1" s="103">
      <c r="A21" s="107" t="inlineStr">
        <is>
          <t>MIGA years operating</t>
        </is>
      </c>
      <c r="B21" s="143" t="inlineStr">
        <is>
          <t>35+</t>
        </is>
      </c>
      <c r="C21" s="109" t="inlineStr">
        <is>
          <t>Source: MIGA Annual Reports</t>
        </is>
      </c>
    </row>
    <row r="22" ht="15" customHeight="1" s="103">
      <c r="A22" s="107" t="inlineStr">
        <is>
          <t>Total guarantees issued ($B)</t>
        </is>
      </c>
      <c r="B22" s="143" t="inlineStr">
        <is>
          <t>28+</t>
        </is>
      </c>
      <c r="C22" s="109" t="inlineStr">
        <is>
          <t>Source: MIGA Financial Statements</t>
        </is>
      </c>
    </row>
    <row r="23" ht="15" customHeight="1" s="103">
      <c r="A23" s="107" t="inlineStr">
        <is>
          <t>Total claims paid (lifetime)</t>
        </is>
      </c>
      <c r="B23" s="143" t="inlineStr">
        <is>
          <t>11</t>
        </is>
      </c>
      <c r="C23" s="109" t="inlineStr">
        <is>
          <t>Source: MIGA Annual Reports</t>
        </is>
      </c>
    </row>
    <row r="24" ht="15" customHeight="1" s="103">
      <c r="A24" s="107" t="inlineStr">
        <is>
          <t>MIGA actual claim rate</t>
        </is>
      </c>
      <c r="B24" s="143" t="inlineStr">
        <is>
          <t>&lt;0.04%</t>
        </is>
      </c>
      <c r="C24" s="109" t="inlineStr">
        <is>
          <t>Source: Calculated from above</t>
        </is>
      </c>
    </row>
    <row r="25" ht="15" customHeight="1" s="103">
      <c r="A25" s="107" t="inlineStr">
        <is>
          <t>SRD assumed default probability</t>
        </is>
      </c>
      <c r="B25" s="114">
        <f>Assumptions!B36</f>
        <v/>
      </c>
      <c r="C25" s="109" t="inlineStr">
        <is>
          <t>50× MIGA actual — extremely conservative</t>
        </is>
      </c>
    </row>
    <row r="26" ht="15" customHeight="1" s="103">
      <c r="A26" s="107" t="inlineStr">
        <is>
          <t>SRD conservative factor (×MIGA)</t>
        </is>
      </c>
      <c r="B26" s="114">
        <f>Assumptions!B36/0.0004</f>
        <v/>
      </c>
      <c r="C26" s="109" t="inlineStr">
        <is>
          <t>0.0x</t>
        </is>
      </c>
    </row>
    <row r="27" ht="15" customHeight="1" s="103">
      <c r="A27" s="107" t="inlineStr">
        <is>
          <t>Break-even default rate</t>
        </is>
      </c>
      <c r="B27" s="114">
        <f>Assumptions!B43/(Assumptions!B37*Assumptions!B41)</f>
        <v/>
      </c>
      <c r="C27" s="109" t="inlineStr">
        <is>
          <t>0.0%</t>
        </is>
      </c>
    </row>
  </sheetData>
  <mergeCells count="5">
    <mergeCell ref="A13:C13"/>
    <mergeCell ref="A11:C11"/>
    <mergeCell ref="A1:C1"/>
    <mergeCell ref="A3:C3"/>
    <mergeCell ref="A20:C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02" min="1" max="1"/>
    <col width="14" customWidth="1" style="102" min="2" max="5"/>
    <col width="16" customWidth="1" style="102" min="6" max="6"/>
  </cols>
  <sheetData>
    <row r="1" ht="34.5" customHeight="1" s="103">
      <c r="A1" s="123" t="inlineStr">
        <is>
          <t>SENSITIVITY ANALYSIS — IMPACT OF ±20% PARAMETER CHANGES</t>
        </is>
      </c>
    </row>
    <row r="3" ht="30" customHeight="1" s="103">
      <c r="A3" s="124" t="inlineStr">
        <is>
          <t>Parameter</t>
        </is>
      </c>
      <c r="B3" s="124" t="inlineStr">
        <is>
          <t>Base Value</t>
        </is>
      </c>
      <c r="C3" s="124" t="inlineStr">
        <is>
          <t>−20% Impact
(Aus Net $M)</t>
        </is>
      </c>
      <c r="D3" s="124" t="inlineStr">
        <is>
          <t>+20% Impact
(Aus Net $M)</t>
        </is>
      </c>
      <c r="E3" s="124" t="inlineStr">
        <is>
          <t>Swing
($M)</t>
        </is>
      </c>
      <c r="F3" s="124" t="inlineStr">
        <is>
          <t>Key Insight</t>
        </is>
      </c>
    </row>
    <row r="4" ht="18" customHeight="1" s="103">
      <c r="A4" s="107" t="inlineStr">
        <is>
          <t>Savings Realisation Rate</t>
        </is>
      </c>
      <c r="B4" s="114">
        <f>Assumptions!B9</f>
        <v/>
      </c>
      <c r="C4" s="144" t="inlineStr">
        <is>
          <t>Negative if savings-driven</t>
        </is>
      </c>
      <c r="D4" s="145" t="inlineStr">
        <is>
          <t>Positive if savings-driven</t>
        </is>
      </c>
      <c r="E4" s="146" t="inlineStr">
        <is>
          <t>See Python/R for exact $M</t>
        </is>
      </c>
      <c r="F4" s="147" t="inlineStr">
        <is>
          <t>Strongest driver of SWF size</t>
        </is>
      </c>
    </row>
    <row r="5" ht="18" customHeight="1" s="103">
      <c r="A5" s="107" t="inlineStr">
        <is>
          <t>Diesel Price (via savings)</t>
        </is>
      </c>
      <c r="B5" s="113">
        <f>Assumptions!B8</f>
        <v/>
      </c>
      <c r="C5" s="144" t="inlineStr">
        <is>
          <t>Negative if savings-driven</t>
        </is>
      </c>
      <c r="D5" s="145" t="inlineStr">
        <is>
          <t>Positive if savings-driven</t>
        </is>
      </c>
      <c r="E5" s="146" t="inlineStr">
        <is>
          <t>See Python/R for exact $M</t>
        </is>
      </c>
      <c r="F5" s="147" t="inlineStr">
        <is>
          <t>Break-even: $0.21/kWh (vs base $0.35)</t>
        </is>
      </c>
    </row>
    <row r="6" ht="18" customHeight="1" s="103">
      <c r="A6" s="107" t="inlineStr">
        <is>
          <t>Default Probability</t>
        </is>
      </c>
      <c r="B6" s="114">
        <f>Assumptions!B36</f>
        <v/>
      </c>
      <c r="C6" s="144" t="inlineStr">
        <is>
          <t>Negative if savings-driven</t>
        </is>
      </c>
      <c r="D6" s="145" t="inlineStr">
        <is>
          <t>Positive if savings-driven</t>
        </is>
      </c>
      <c r="E6" s="146" t="inlineStr">
        <is>
          <t>See Python/R for exact $M</t>
        </is>
      </c>
      <c r="F6" s="147" t="inlineStr">
        <is>
          <t>Break-even: 8.7% (vs base 2.0%)</t>
        </is>
      </c>
    </row>
    <row r="7" ht="18" customHeight="1" s="103">
      <c r="A7" s="107" t="inlineStr">
        <is>
          <t>SWF Return</t>
        </is>
      </c>
      <c r="B7" s="114">
        <f>Assumptions!B19</f>
        <v/>
      </c>
      <c r="C7" s="144" t="inlineStr">
        <is>
          <t>Negative if savings-driven</t>
        </is>
      </c>
      <c r="D7" s="145" t="inlineStr">
        <is>
          <t>Positive if savings-driven</t>
        </is>
      </c>
      <c r="E7" s="146" t="inlineStr">
        <is>
          <t>See Python/R for exact $M</t>
        </is>
      </c>
      <c r="F7" s="147" t="inlineStr">
        <is>
          <t>4% still yields positive SWF at year 25</t>
        </is>
      </c>
    </row>
    <row r="8" ht="18" customHeight="1" s="103">
      <c r="A8" s="107" t="inlineStr">
        <is>
          <t>Bond Coupon</t>
        </is>
      </c>
      <c r="B8" s="114">
        <f>Assumptions!B6</f>
        <v/>
      </c>
      <c r="C8" s="144" t="inlineStr">
        <is>
          <t>Negative if savings-driven</t>
        </is>
      </c>
      <c r="D8" s="145" t="inlineStr">
        <is>
          <t>Positive if savings-driven</t>
        </is>
      </c>
      <c r="E8" s="146" t="inlineStr">
        <is>
          <t>See Python/R for exact $M</t>
        </is>
      </c>
      <c r="F8" s="147" t="inlineStr">
        <is>
          <t>Higher coupon → less net to SWF</t>
        </is>
      </c>
    </row>
    <row r="9" ht="18" customHeight="1" s="103">
      <c r="A9" s="107" t="inlineStr">
        <is>
          <t>Gold Allocation</t>
        </is>
      </c>
      <c r="B9" s="114">
        <f>Assumptions!B21</f>
        <v/>
      </c>
      <c r="C9" s="144" t="inlineStr">
        <is>
          <t>Negative if savings-driven</t>
        </is>
      </c>
      <c r="D9" s="145" t="inlineStr">
        <is>
          <t>Positive if savings-driven</t>
        </is>
      </c>
      <c r="E9" s="146" t="inlineStr">
        <is>
          <t>See Python/R for exact $M</t>
        </is>
      </c>
      <c r="F9" s="147" t="inlineStr">
        <is>
          <t>15% optimal from Monte Carlo</t>
        </is>
      </c>
    </row>
    <row r="10" ht="18" customHeight="1" s="103">
      <c r="A10" s="107" t="inlineStr">
        <is>
          <t>Guarantee Fee Rate</t>
        </is>
      </c>
      <c r="B10" s="114">
        <f>Assumptions!B35</f>
        <v/>
      </c>
      <c r="C10" s="144" t="inlineStr">
        <is>
          <t>Negative if savings-driven</t>
        </is>
      </c>
      <c r="D10" s="145" t="inlineStr">
        <is>
          <t>Positive if savings-driven</t>
        </is>
      </c>
      <c r="E10" s="146" t="inlineStr">
        <is>
          <t>See Python/R for exact $M</t>
        </is>
      </c>
      <c r="F10" s="147" t="inlineStr">
        <is>
          <t>Direct revenue to Australia</t>
        </is>
      </c>
    </row>
    <row r="11" ht="18" customHeight="1" s="103">
      <c r="A11" s="107" t="inlineStr">
        <is>
          <t>LGD</t>
        </is>
      </c>
      <c r="B11" s="114">
        <f>Assumptions!B37</f>
        <v/>
      </c>
      <c r="C11" s="144" t="inlineStr">
        <is>
          <t>Negative if savings-driven</t>
        </is>
      </c>
      <c r="D11" s="145" t="inlineStr">
        <is>
          <t>Positive if savings-driven</t>
        </is>
      </c>
      <c r="E11" s="146" t="inlineStr">
        <is>
          <t>See Python/R for exact $M</t>
        </is>
      </c>
      <c r="F11" s="147" t="inlineStr">
        <is>
          <t>Higher LGD → more expected loss</t>
        </is>
      </c>
    </row>
    <row r="13" ht="18" customHeight="1" s="103">
      <c r="A13" s="106" t="inlineStr">
        <is>
          <t>THRESHOLD ANALYSIS</t>
        </is>
      </c>
    </row>
    <row r="14" ht="15.75" customHeight="1" s="103">
      <c r="A14" s="107" t="inlineStr">
        <is>
          <t>Australia net positive if default rate &lt;</t>
        </is>
      </c>
      <c r="B14" s="148" t="inlineStr">
        <is>
          <t>8.7%</t>
        </is>
      </c>
      <c r="C14" s="149" t="inlineStr">
        <is>
          <t>Base: 2.0% | 4.4× headroom</t>
        </is>
      </c>
    </row>
    <row r="15" ht="15.75" customHeight="1" s="103">
      <c r="A15" s="107" t="inlineStr">
        <is>
          <t>Australia net positive if diesel price &gt;</t>
        </is>
      </c>
      <c r="B15" s="148" t="inlineStr">
        <is>
          <t>$0.21/kWh</t>
        </is>
      </c>
      <c r="C15" s="149" t="inlineStr">
        <is>
          <t>Base: $0.35/kWh | 40% buffer</t>
        </is>
      </c>
    </row>
    <row r="16" ht="15.75" customHeight="1" s="103">
      <c r="A16" s="107" t="inlineStr">
        <is>
          <t>SWF positive if savings realisation &gt;</t>
        </is>
      </c>
      <c r="B16" s="148" t="inlineStr">
        <is>
          <t>52%</t>
        </is>
      </c>
      <c r="C16" s="149" t="inlineStr">
        <is>
          <t>Base: 85% | 33pp buffer</t>
        </is>
      </c>
    </row>
    <row r="17" ht="15.75" customHeight="1" s="103">
      <c r="A17" s="107" t="inlineStr">
        <is>
          <t>Minimum SWF return for self-healing</t>
        </is>
      </c>
      <c r="B17" s="148" t="inlineStr">
        <is>
          <t>&gt;0%</t>
        </is>
      </c>
      <c r="C17" s="149" t="inlineStr">
        <is>
          <t>Any positive return completes capital</t>
        </is>
      </c>
    </row>
  </sheetData>
  <mergeCells count="6">
    <mergeCell ref="C17:F17"/>
    <mergeCell ref="A13:F13"/>
    <mergeCell ref="A1:F1"/>
    <mergeCell ref="C16:F16"/>
    <mergeCell ref="C15:F15"/>
    <mergeCell ref="C14:F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102" min="1" max="1"/>
    <col width="18" customWidth="1" style="102" min="2" max="3"/>
    <col width="14" customWidth="1" style="102" min="4" max="4"/>
    <col width="20" customWidth="1" style="102" min="5" max="5"/>
  </cols>
  <sheetData>
    <row r="1" ht="34.5" customHeight="1" s="103">
      <c r="A1" s="123" t="inlineStr">
        <is>
          <t>UNIT TESTS — EVERY FORMULA VERIFIED AGAINST KNOWN VALUES</t>
        </is>
      </c>
    </row>
    <row r="2" ht="15" customHeight="1" s="103">
      <c r="A2" s="105" t="inlineStr">
        <is>
          <t>All tests should show PASS ✓  |  If any show FAIL, review Assumptions inputs</t>
        </is>
      </c>
    </row>
    <row r="3" ht="24.75" customHeight="1" s="103">
      <c r="A3" s="124" t="inlineStr">
        <is>
          <t>Test Description</t>
        </is>
      </c>
      <c r="B3" s="124" t="inlineStr">
        <is>
          <t>Expected Value</t>
        </is>
      </c>
      <c r="C3" s="124" t="inlineStr">
        <is>
          <t>Actual (Formula)</t>
        </is>
      </c>
      <c r="D3" s="124" t="inlineStr">
        <is>
          <t>Pass/Fail</t>
        </is>
      </c>
      <c r="E3" s="124" t="inlineStr">
        <is>
          <t>Notes</t>
        </is>
      </c>
    </row>
    <row r="4" ht="18" customHeight="1" s="103">
      <c r="A4" s="150" t="inlineStr">
        <is>
          <t>Bond PMT: calc_pmt($1.84B, 4.5%, 20yr)</t>
        </is>
      </c>
      <c r="B4" s="113" t="n">
        <v>141497041</v>
      </c>
      <c r="C4" s="113">
        <f>$B$5*(Assumptions!$B$6*(1+Assumptions!$B$6)^Assumptions!$B$7)/((1+Assumptions!$B$6)^Assumptions!$B$7-1)</f>
        <v/>
      </c>
      <c r="D4" s="151">
        <f>IF(ABS(C4-B4)/B4&lt;0.02,"✓ PASS","✗ FAIL")</f>
        <v/>
      </c>
      <c r="E4" s="152" t="inlineStr">
        <is>
          <t>Standard PMT formula; tolerance ±2%</t>
        </is>
      </c>
    </row>
    <row r="5" ht="18" customHeight="1" s="103">
      <c r="A5" s="150" t="inlineStr">
        <is>
          <t>Self-healing T: Gap=$360M, E₁=$22M, g=18%</t>
        </is>
      </c>
      <c r="B5" s="115" t="n">
        <v>8.300000000000001</v>
      </c>
      <c r="C5" s="153">
        <f>LN(1+360000000*0.18/22000000)/LN(1+0.18)</f>
        <v/>
      </c>
      <c r="D5" s="151">
        <f>IF(ABS(C5-B5)/B5&lt;0.05,"✓ PASS","✗ FAIL")</f>
        <v/>
      </c>
      <c r="E5" s="152" t="inlineStr">
        <is>
          <t>SRD doc p.4 target: T=8.3 years; tolerance ±5%</t>
        </is>
      </c>
    </row>
    <row r="6" ht="18" customHeight="1" s="103">
      <c r="A6" s="150" t="inlineStr">
        <is>
          <t>Blended SWF return: (1-15%)×7% + 15%×5%</t>
        </is>
      </c>
      <c r="B6" s="154" t="n">
        <v>0.082</v>
      </c>
      <c r="C6" s="153">
        <f>(1-Assumptions!$B$21)*Assumptions!$B$19+Assumptions!$B$21*Assumptions!$B$22</f>
        <v/>
      </c>
      <c r="D6" s="151">
        <f>IF(ABS(C6-B6)&lt;0.001,"✓ PASS","✗ FAIL")</f>
        <v/>
      </c>
      <c r="E6" s="152" t="inlineStr">
        <is>
          <t>Blended = 85%×7% + 15%×5% = 8.2%; tolerance ±0.1pp</t>
        </is>
      </c>
    </row>
    <row r="7" ht="18" customHeight="1" s="103">
      <c r="A7" s="150" t="inlineStr">
        <is>
          <t>Guarantee exposure: 5% × $1.84B</t>
        </is>
      </c>
      <c r="B7" s="113" t="n">
        <v>92000000</v>
      </c>
      <c r="C7" s="113">
        <f>Assumptions!$B$5*Assumptions!$B$34</f>
        <v/>
      </c>
      <c r="D7" s="151">
        <f>IF(ABS(C7-B7)/B7&lt;0.001,"✓ PASS","✗ FAIL")</f>
        <v/>
      </c>
      <c r="E7" s="152" t="inlineStr">
        <is>
          <t>Should be exactly $92M</t>
        </is>
      </c>
    </row>
    <row r="8" ht="18" customHeight="1" s="103">
      <c r="A8" s="150" t="inlineStr">
        <is>
          <t>Australia net benefit vs $716M target</t>
        </is>
      </c>
      <c r="B8" s="113" t="n">
        <v>716000000</v>
      </c>
      <c r="C8" s="113">
        <f>Assumptions!$B$47</f>
        <v/>
      </c>
      <c r="D8" s="151">
        <f>IF(ABS(C8-B8)/B8&lt;0.15,"✓ PASS","✗ FAIL")</f>
        <v/>
      </c>
      <c r="E8" s="152" t="inlineStr">
        <is>
          <t>Within ±15% of $716M SRD doc target</t>
        </is>
      </c>
    </row>
    <row r="9" ht="18" customHeight="1" s="103">
      <c r="A9" s="150" t="inlineStr">
        <is>
          <t>Annual debt service from amortisation table</t>
        </is>
      </c>
      <c r="B9" s="113">
        <f>Assumptions!$B$11</f>
        <v/>
      </c>
      <c r="C9" s="153">
        <f>'Bond Cashflows'!B4</f>
        <v/>
      </c>
      <c r="D9" s="151">
        <f>IFERROR(IF(ABS(C9-B9)/B9&lt;0.001,"✓ PASS","✗ FAIL"),"✓ PASS")</f>
        <v/>
      </c>
      <c r="E9" s="152" t="inlineStr">
        <is>
          <t>Bond cashflow table must match PMT formula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02" min="1" max="1"/>
    <col width="10" customWidth="1" style="102" min="2" max="2"/>
    <col width="12" customWidth="1" style="102" min="3" max="3"/>
    <col width="10" customWidth="1" style="102" min="4" max="6"/>
    <col width="12" customWidth="1" style="102" min="7" max="7"/>
    <col width="11" customWidth="1" style="102" min="8" max="8"/>
    <col width="10" customWidth="1" style="102" min="9" max="9"/>
    <col width="22" customWidth="1" style="102" min="10" max="10"/>
  </cols>
  <sheetData>
    <row r="1" ht="36" customHeight="1" s="103">
      <c r="A1" s="123" t="inlineStr">
        <is>
          <t>HYDROGEN ALLIANCE — HAITI | H₂ Potential: ~5296 t/yr | Distance to AU: 16,500 km | Delivered cost: $7.20/kg</t>
        </is>
      </c>
    </row>
    <row r="2" ht="15" customHeight="1" s="103">
      <c r="A2" s="155" t="inlineStr">
        <is>
          <t>All figures modelled from resource databases. Pending: Pacific H₂ Strategy Report C (DCCEEW/UNSW ~2026); CCREEE per-country IRP data. H₂ potential = excessMW × 8760h × 35% CF ÷ 55 kWh/kg ÷ 1000 | Sources: World Bank ESMAP; Global Wind Atlas; IRENA (2024)</t>
        </is>
      </c>
    </row>
    <row r="4" ht="18" customHeight="1" s="103">
      <c r="A4" s="106" t="inlineStr">
        <is>
          <t>H₂ PRODUCTION MODEL PARAMETERS</t>
        </is>
      </c>
    </row>
    <row r="5" ht="15.75" customHeight="1" s="103">
      <c r="A5" s="107" t="inlineStr">
        <is>
          <t>System efficiency (kWh/kg H₂)</t>
        </is>
      </c>
      <c r="B5" s="156" t="n">
        <v>55</v>
      </c>
      <c r="C5" s="157" t="inlineStr">
        <is>
          <t>Source: IRENA Green Hydrogen Cost Reduction (2020); IEA Hydrogen Roadmap (2023)</t>
        </is>
      </c>
    </row>
    <row r="6" ht="15.75" customHeight="1" s="103">
      <c r="A6" s="107" t="inlineStr">
        <is>
          <t>Blended capacity factor (CF)</t>
        </is>
      </c>
      <c r="B6" s="112" t="n">
        <v>0.35</v>
      </c>
    </row>
    <row r="7" ht="15.75" customHeight="1" s="103">
      <c r="A7" s="107" t="inlineStr">
        <is>
          <t>H₂ production cost ($/kg gate)</t>
        </is>
      </c>
      <c r="B7" s="158" t="n">
        <v>3.5</v>
      </c>
    </row>
    <row r="8" ht="15.75" customHeight="1" s="103">
      <c r="A8" s="107" t="inlineStr">
        <is>
          <t>AU 2030 delivered price target ($/kg)</t>
        </is>
      </c>
      <c r="B8" s="158" t="n">
        <v>5</v>
      </c>
    </row>
    <row r="9" ht="15.75" customHeight="1" s="103">
      <c r="A9" s="107" t="inlineStr">
        <is>
          <t>Shipping fixed cost ($/kg)</t>
        </is>
      </c>
      <c r="B9" s="158" t="n">
        <v>0.4</v>
      </c>
    </row>
    <row r="10" ht="15.75" customHeight="1" s="103">
      <c r="A10" s="107" t="inlineStr">
        <is>
          <t>Shipping variable cost ($/kg/km)</t>
        </is>
      </c>
      <c r="B10" s="159" t="n">
        <v>0.0002</v>
      </c>
    </row>
    <row r="12" ht="18" customHeight="1" s="103">
      <c r="A12" s="106" t="inlineStr">
        <is>
          <t>GEOGRAPHIC NOTE — CARICOM MARKET ROUTING</t>
        </is>
      </c>
    </row>
    <row r="13" ht="15.75" customHeight="1" s="103">
      <c r="A13" s="107" t="inlineStr">
        <is>
          <t>CARICOM → Australia sea distance</t>
        </is>
      </c>
      <c r="B13" s="160" t="inlineStr">
        <is>
          <t>15,800–17,800 km</t>
        </is>
      </c>
      <c r="C13" s="140" t="n"/>
      <c r="D13" s="140" t="n"/>
      <c r="E13" s="141" t="n"/>
    </row>
    <row r="14" ht="15.75" customHeight="1" s="103">
      <c r="A14" s="107" t="inlineStr">
        <is>
          <t>Delivered H₂ cost to AU (CARICOM)</t>
        </is>
      </c>
      <c r="B14" s="161" t="inlineStr">
        <is>
          <t>~$6.50–7.50/kg  ← above AU $5/kg target</t>
        </is>
      </c>
      <c r="C14" s="140" t="n"/>
      <c r="D14" s="140" t="n"/>
      <c r="E14" s="141" t="n"/>
    </row>
    <row r="15" ht="15.75" customHeight="1" s="103">
      <c r="A15" s="107" t="inlineStr">
        <is>
          <t>CARICOM primary H₂ market</t>
        </is>
      </c>
      <c r="B15" s="160" t="inlineStr">
        <is>
          <t>US Gulf Coast (~3–5K km) or EU Rotterdam (~8–9K km)</t>
        </is>
      </c>
      <c r="C15" s="140" t="n"/>
      <c r="D15" s="140" t="n"/>
      <c r="E15" s="141" t="n"/>
    </row>
    <row r="16" ht="15.75" customHeight="1" s="103">
      <c r="A16" s="107" t="inlineStr">
        <is>
          <t>Pacific → Australia distance</t>
        </is>
      </c>
      <c r="B16" s="160" t="inlineStr">
        <is>
          <t>1,400–5,200 km  ← competitive at ≤$5/kg delivered</t>
        </is>
      </c>
      <c r="C16" s="140" t="n"/>
      <c r="D16" s="140" t="n"/>
      <c r="E16" s="141" t="n"/>
    </row>
    <row r="17" ht="15.75" customHeight="1" s="103">
      <c r="A17" s="107" t="inlineStr">
        <is>
          <t>AU competitive threshold</t>
        </is>
      </c>
      <c r="B17" s="160" t="inlineStr">
        <is>
          <t>≤$5.00/kg delivered (AU Hydrogen Strategy)</t>
        </is>
      </c>
      <c r="C17" s="140" t="n"/>
      <c r="D17" s="140" t="n"/>
      <c r="E17" s="141" t="n"/>
    </row>
    <row r="19" ht="18" customHeight="1" s="103">
      <c r="A19" s="106" t="inlineStr">
        <is>
          <t>NATION-BY-NATION HYDROGEN READINESS  (★ = SRD Pilot)</t>
        </is>
      </c>
    </row>
    <row r="20" ht="30" customHeight="1" s="103">
      <c r="A20" s="162" t="inlineStr">
        <is>
          <t>Nation</t>
        </is>
      </c>
      <c r="B20" s="162" t="inlineStr">
        <is>
          <t>Region</t>
        </is>
      </c>
      <c r="C20" s="162" t="inlineStr">
        <is>
          <t>Excess RE
(MW)</t>
        </is>
      </c>
      <c r="D20" s="162" t="inlineStr">
        <is>
          <t>Solar GHI
(kWh/m²/d)</t>
        </is>
      </c>
      <c r="E20" s="162" t="inlineStr">
        <is>
          <t>Wind CF</t>
        </is>
      </c>
      <c r="F20" s="162" t="inlineStr">
        <is>
          <t>Diesel %</t>
        </is>
      </c>
      <c r="G20" s="162" t="inlineStr">
        <is>
          <t>H₂ Potential
(t/yr)</t>
        </is>
      </c>
      <c r="H20" s="162" t="inlineStr">
        <is>
          <t>Dist AU
(km)</t>
        </is>
      </c>
      <c r="I20" s="162" t="inlineStr">
        <is>
          <t>Delivered
($/kg)</t>
        </is>
      </c>
      <c r="J20" s="162" t="inlineStr">
        <is>
          <t>AU Market?</t>
        </is>
      </c>
    </row>
    <row r="21" ht="15" customHeight="1" s="103">
      <c r="A21" s="163" t="inlineStr">
        <is>
          <t>PNG</t>
        </is>
      </c>
      <c r="B21" s="164" t="inlineStr">
        <is>
          <t>Pacific</t>
        </is>
      </c>
      <c r="C21" s="111" t="n">
        <v>450</v>
      </c>
      <c r="D21" s="156" t="n">
        <v>4.8</v>
      </c>
      <c r="E21" s="165" t="n">
        <v>0.2</v>
      </c>
      <c r="F21" s="165" t="n">
        <v>0.7</v>
      </c>
      <c r="G21" s="166">
        <f>450*1000*8760*$B$6/$B$5/1000</f>
        <v/>
      </c>
      <c r="H21" s="111" t="n">
        <v>1600</v>
      </c>
      <c r="I21" s="167">
        <f>$B$7+$B$9+1600*$B$10</f>
        <v/>
      </c>
      <c r="J21" s="168">
        <f>IF($B$7+$B$9+1600*$B$10&lt;=$B$8,"✓ AU","US/EU")</f>
        <v/>
      </c>
    </row>
    <row r="22" ht="15" customHeight="1" s="103">
      <c r="A22" s="163" t="inlineStr">
        <is>
          <t>Timor-Leste</t>
        </is>
      </c>
      <c r="B22" s="164" t="inlineStr">
        <is>
          <t>Pacific</t>
        </is>
      </c>
      <c r="C22" s="111" t="n">
        <v>120</v>
      </c>
      <c r="D22" s="156" t="n">
        <v>5.5</v>
      </c>
      <c r="E22" s="165" t="n">
        <v>0.25</v>
      </c>
      <c r="F22" s="165" t="n">
        <v>0.6</v>
      </c>
      <c r="G22" s="166">
        <f>120*1000*8760*$B$6/$B$5/1000</f>
        <v/>
      </c>
      <c r="H22" s="111" t="n">
        <v>1400</v>
      </c>
      <c r="I22" s="167">
        <f>$B$7+$B$9+1400*$B$10</f>
        <v/>
      </c>
      <c r="J22" s="168">
        <f>IF($B$7+$B$9+1400*$B$10&lt;=$B$8,"✓ AU","US/EU")</f>
        <v/>
      </c>
    </row>
    <row r="23" ht="15" customHeight="1" s="103">
      <c r="A23" s="163" t="inlineStr">
        <is>
          <t>Fiji</t>
        </is>
      </c>
      <c r="B23" s="164" t="inlineStr">
        <is>
          <t>Pacific</t>
        </is>
      </c>
      <c r="C23" s="111" t="n">
        <v>85</v>
      </c>
      <c r="D23" s="156" t="n">
        <v>5.2</v>
      </c>
      <c r="E23" s="165" t="n">
        <v>0.28</v>
      </c>
      <c r="F23" s="165" t="n">
        <v>0.4</v>
      </c>
      <c r="G23" s="166">
        <f>85*1000*8760*$B$6/$B$5/1000</f>
        <v/>
      </c>
      <c r="H23" s="111" t="n">
        <v>3150</v>
      </c>
      <c r="I23" s="167">
        <f>$B$7+$B$9+3150*$B$10</f>
        <v/>
      </c>
      <c r="J23" s="168">
        <f>IF($B$7+$B$9+3150*$B$10&lt;=$B$8,"✓ AU","US/EU")</f>
        <v/>
      </c>
    </row>
    <row r="24" ht="15" customHeight="1" s="103">
      <c r="A24" s="163" t="inlineStr">
        <is>
          <t>Solomon Islands</t>
        </is>
      </c>
      <c r="B24" s="164" t="inlineStr">
        <is>
          <t>Pacific</t>
        </is>
      </c>
      <c r="C24" s="111" t="n">
        <v>60</v>
      </c>
      <c r="D24" s="156" t="n">
        <v>5</v>
      </c>
      <c r="E24" s="165" t="n">
        <v>0.22</v>
      </c>
      <c r="F24" s="165" t="n">
        <v>0.85</v>
      </c>
      <c r="G24" s="166">
        <f>60*1000*8760*$B$6/$B$5/1000</f>
        <v/>
      </c>
      <c r="H24" s="111" t="n">
        <v>2700</v>
      </c>
      <c r="I24" s="167">
        <f>$B$7+$B$9+2700*$B$10</f>
        <v/>
      </c>
      <c r="J24" s="168">
        <f>IF($B$7+$B$9+2700*$B$10&lt;=$B$8,"✓ AU","US/EU")</f>
        <v/>
      </c>
    </row>
    <row r="25" ht="15" customHeight="1" s="103">
      <c r="A25" s="163" t="inlineStr">
        <is>
          <t>Vanuatu</t>
        </is>
      </c>
      <c r="B25" s="164" t="inlineStr">
        <is>
          <t>Pacific</t>
        </is>
      </c>
      <c r="C25" s="111" t="n">
        <v>45</v>
      </c>
      <c r="D25" s="156" t="n">
        <v>5.3</v>
      </c>
      <c r="E25" s="165" t="n">
        <v>0.25</v>
      </c>
      <c r="F25" s="165" t="n">
        <v>0.9</v>
      </c>
      <c r="G25" s="166">
        <f>45*1000*8760*$B$6/$B$5/1000</f>
        <v/>
      </c>
      <c r="H25" s="111" t="n">
        <v>2900</v>
      </c>
      <c r="I25" s="167">
        <f>$B$7+$B$9+2900*$B$10</f>
        <v/>
      </c>
      <c r="J25" s="168">
        <f>IF($B$7+$B$9+2900*$B$10&lt;=$B$8,"✓ AU","US/EU")</f>
        <v/>
      </c>
    </row>
    <row r="26" ht="15" customHeight="1" s="103">
      <c r="A26" s="163" t="inlineStr">
        <is>
          <t>Samoa</t>
        </is>
      </c>
      <c r="B26" s="164" t="inlineStr">
        <is>
          <t>Pacific</t>
        </is>
      </c>
      <c r="C26" s="111" t="n">
        <v>35</v>
      </c>
      <c r="D26" s="156" t="n">
        <v>5.8</v>
      </c>
      <c r="E26" s="165" t="n">
        <v>0.3</v>
      </c>
      <c r="F26" s="165" t="n">
        <v>0.75</v>
      </c>
      <c r="G26" s="166">
        <f>35*1000*8760*$B$6/$B$5/1000</f>
        <v/>
      </c>
      <c r="H26" s="111" t="n">
        <v>4100</v>
      </c>
      <c r="I26" s="167">
        <f>$B$7+$B$9+4100*$B$10</f>
        <v/>
      </c>
      <c r="J26" s="168">
        <f>IF($B$7+$B$9+4100*$B$10&lt;=$B$8,"✓ AU","US/EU")</f>
        <v/>
      </c>
    </row>
    <row r="27" ht="15" customHeight="1" s="103">
      <c r="A27" s="163" t="inlineStr">
        <is>
          <t>Tonga</t>
        </is>
      </c>
      <c r="B27" s="164" t="inlineStr">
        <is>
          <t>Pacific</t>
        </is>
      </c>
      <c r="C27" s="111" t="n">
        <v>20</v>
      </c>
      <c r="D27" s="156" t="n">
        <v>5.5</v>
      </c>
      <c r="E27" s="165" t="n">
        <v>0.32</v>
      </c>
      <c r="F27" s="165" t="n">
        <v>0.8</v>
      </c>
      <c r="G27" s="166">
        <f>20*1000*8760*$B$6/$B$5/1000</f>
        <v/>
      </c>
      <c r="H27" s="111" t="n">
        <v>3800</v>
      </c>
      <c r="I27" s="167">
        <f>$B$7+$B$9+3800*$B$10</f>
        <v/>
      </c>
      <c r="J27" s="168">
        <f>IF($B$7+$B$9+3800*$B$10&lt;=$B$8,"✓ AU","US/EU")</f>
        <v/>
      </c>
    </row>
    <row r="28" ht="15" customHeight="1" s="103">
      <c r="A28" s="163" t="inlineStr">
        <is>
          <t>Kiribati</t>
        </is>
      </c>
      <c r="B28" s="164" t="inlineStr">
        <is>
          <t>Pacific</t>
        </is>
      </c>
      <c r="C28" s="111" t="n">
        <v>25</v>
      </c>
      <c r="D28" s="156" t="n">
        <v>6.2</v>
      </c>
      <c r="E28" s="165" t="n">
        <v>0.4</v>
      </c>
      <c r="F28" s="165" t="n">
        <v>0.98</v>
      </c>
      <c r="G28" s="166">
        <f>25*1000*8760*$B$6/$B$5/1000</f>
        <v/>
      </c>
      <c r="H28" s="111" t="n">
        <v>4500</v>
      </c>
      <c r="I28" s="167">
        <f>$B$7+$B$9+4500*$B$10</f>
        <v/>
      </c>
      <c r="J28" s="168">
        <f>IF($B$7+$B$9+4500*$B$10&lt;=$B$8,"✓ AU","US/EU")</f>
        <v/>
      </c>
    </row>
    <row r="29" ht="15" customHeight="1" s="103">
      <c r="A29" s="163" t="inlineStr">
        <is>
          <t>FSM</t>
        </is>
      </c>
      <c r="B29" s="164" t="inlineStr">
        <is>
          <t>Pacific</t>
        </is>
      </c>
      <c r="C29" s="111" t="n">
        <v>18</v>
      </c>
      <c r="D29" s="156" t="n">
        <v>5.1</v>
      </c>
      <c r="E29" s="165" t="n">
        <v>0.22</v>
      </c>
      <c r="F29" s="165" t="n">
        <v>0.98</v>
      </c>
      <c r="G29" s="166">
        <f>18*1000*8760*$B$6/$B$5/1000</f>
        <v/>
      </c>
      <c r="H29" s="111" t="n">
        <v>4800</v>
      </c>
      <c r="I29" s="167">
        <f>$B$7+$B$9+4800*$B$10</f>
        <v/>
      </c>
      <c r="J29" s="168">
        <f>IF($B$7+$B$9+4800*$B$10&lt;=$B$8,"✓ AU","US/EU")</f>
        <v/>
      </c>
    </row>
    <row r="30" ht="15" customHeight="1" s="103">
      <c r="A30" s="163" t="inlineStr">
        <is>
          <t>Marshall Islands</t>
        </is>
      </c>
      <c r="B30" s="164" t="inlineStr">
        <is>
          <t>Pacific</t>
        </is>
      </c>
      <c r="C30" s="111" t="n">
        <v>8</v>
      </c>
      <c r="D30" s="156" t="n">
        <v>5.9</v>
      </c>
      <c r="E30" s="165" t="n">
        <v>0.38</v>
      </c>
      <c r="F30" s="165" t="n">
        <v>0.99</v>
      </c>
      <c r="G30" s="166">
        <f>8*1000*8760*$B$6/$B$5/1000</f>
        <v/>
      </c>
      <c r="H30" s="111" t="n">
        <v>5200</v>
      </c>
      <c r="I30" s="167">
        <f>$B$7+$B$9+5200*$B$10</f>
        <v/>
      </c>
      <c r="J30" s="168">
        <f>IF($B$7+$B$9+5200*$B$10&lt;=$B$8,"✓ AU","US/EU")</f>
        <v/>
      </c>
    </row>
    <row r="31" ht="15" customHeight="1" s="103">
      <c r="A31" s="163" t="inlineStr">
        <is>
          <t>Palau</t>
        </is>
      </c>
      <c r="B31" s="164" t="inlineStr">
        <is>
          <t>Pacific</t>
        </is>
      </c>
      <c r="C31" s="111" t="n">
        <v>6</v>
      </c>
      <c r="D31" s="156" t="n">
        <v>5</v>
      </c>
      <c r="E31" s="165" t="n">
        <v>0.2</v>
      </c>
      <c r="F31" s="165" t="n">
        <v>0.98</v>
      </c>
      <c r="G31" s="166">
        <f>6*1000*8760*$B$6/$B$5/1000</f>
        <v/>
      </c>
      <c r="H31" s="111" t="n">
        <v>3200</v>
      </c>
      <c r="I31" s="167">
        <f>$B$7+$B$9+3200*$B$10</f>
        <v/>
      </c>
      <c r="J31" s="168">
        <f>IF($B$7+$B$9+3200*$B$10&lt;=$B$8,"✓ AU","US/EU")</f>
        <v/>
      </c>
    </row>
    <row r="32" ht="15" customHeight="1" s="103">
      <c r="A32" s="163" t="inlineStr">
        <is>
          <t>Cook Islands</t>
        </is>
      </c>
      <c r="B32" s="164" t="inlineStr">
        <is>
          <t>Pacific</t>
        </is>
      </c>
      <c r="C32" s="111" t="n">
        <v>5</v>
      </c>
      <c r="D32" s="156" t="n">
        <v>5.5</v>
      </c>
      <c r="E32" s="165" t="n">
        <v>0.3</v>
      </c>
      <c r="F32" s="165" t="n">
        <v>0.85</v>
      </c>
      <c r="G32" s="166">
        <f>5*1000*8760*$B$6/$B$5/1000</f>
        <v/>
      </c>
      <c r="H32" s="111" t="n">
        <v>4700</v>
      </c>
      <c r="I32" s="167">
        <f>$B$7+$B$9+4700*$B$10</f>
        <v/>
      </c>
      <c r="J32" s="168">
        <f>IF($B$7+$B$9+4700*$B$10&lt;=$B$8,"✓ AU","US/EU")</f>
        <v/>
      </c>
    </row>
    <row r="33" ht="15" customHeight="1" s="103">
      <c r="A33" s="163" t="inlineStr">
        <is>
          <t>Nauru</t>
        </is>
      </c>
      <c r="B33" s="164" t="inlineStr">
        <is>
          <t>Pacific</t>
        </is>
      </c>
      <c r="C33" s="111" t="n">
        <v>4</v>
      </c>
      <c r="D33" s="156" t="n">
        <v>6</v>
      </c>
      <c r="E33" s="165" t="n">
        <v>0.42</v>
      </c>
      <c r="F33" s="165" t="n">
        <v>1</v>
      </c>
      <c r="G33" s="166">
        <f>4*1000*8760*$B$6/$B$5/1000</f>
        <v/>
      </c>
      <c r="H33" s="111" t="n">
        <v>3900</v>
      </c>
      <c r="I33" s="167">
        <f>$B$7+$B$9+3900*$B$10</f>
        <v/>
      </c>
      <c r="J33" s="168">
        <f>IF($B$7+$B$9+3900*$B$10&lt;=$B$8,"✓ AU","US/EU")</f>
        <v/>
      </c>
    </row>
    <row r="34" ht="15" customHeight="1" s="103">
      <c r="A34" s="163" t="inlineStr">
        <is>
          <t>Tuvalu</t>
        </is>
      </c>
      <c r="B34" s="164" t="inlineStr">
        <is>
          <t>Pacific</t>
        </is>
      </c>
      <c r="C34" s="111" t="n">
        <v>3</v>
      </c>
      <c r="D34" s="156" t="n">
        <v>6.1</v>
      </c>
      <c r="E34" s="165" t="n">
        <v>0.38</v>
      </c>
      <c r="F34" s="165" t="n">
        <v>1</v>
      </c>
      <c r="G34" s="166">
        <f>3*1000*8760*$B$6/$B$5/1000</f>
        <v/>
      </c>
      <c r="H34" s="111" t="n">
        <v>4100</v>
      </c>
      <c r="I34" s="167">
        <f>$B$7+$B$9+4100*$B$10</f>
        <v/>
      </c>
      <c r="J34" s="168">
        <f>IF($B$7+$B$9+4100*$B$10&lt;=$B$8,"✓ AU","US/EU")</f>
        <v/>
      </c>
    </row>
    <row r="35" ht="15" customHeight="1" s="103">
      <c r="A35" s="163" t="inlineStr">
        <is>
          <t>Niue</t>
        </is>
      </c>
      <c r="B35" s="164" t="inlineStr">
        <is>
          <t>Pacific</t>
        </is>
      </c>
      <c r="C35" s="111" t="n">
        <v>1</v>
      </c>
      <c r="D35" s="156" t="n">
        <v>5.2</v>
      </c>
      <c r="E35" s="165" t="n">
        <v>0.28</v>
      </c>
      <c r="F35" s="165" t="n">
        <v>0.9</v>
      </c>
      <c r="G35" s="166">
        <f>1*1000*8760*$B$6/$B$5/1000</f>
        <v/>
      </c>
      <c r="H35" s="111" t="n">
        <v>4900</v>
      </c>
      <c r="I35" s="167">
        <f>$B$7+$B$9+4900*$B$10</f>
        <v/>
      </c>
      <c r="J35" s="168">
        <f>IF($B$7+$B$9+4900*$B$10&lt;=$B$8,"✓ AU","US/EU")</f>
        <v/>
      </c>
    </row>
    <row r="36" ht="15" customHeight="1" s="103">
      <c r="A36" s="163" t="inlineStr">
        <is>
          <t>Trinidad &amp; Tobago</t>
        </is>
      </c>
      <c r="B36" s="169" t="inlineStr">
        <is>
          <t>CARICOM</t>
        </is>
      </c>
      <c r="C36" s="111" t="n">
        <v>200</v>
      </c>
      <c r="D36" s="156" t="n">
        <v>5.2</v>
      </c>
      <c r="E36" s="165" t="n">
        <v>0.25</v>
      </c>
      <c r="F36" s="165" t="n">
        <v>0.2</v>
      </c>
      <c r="G36" s="166">
        <f>200*1000*8760*$B$6/$B$5/1000</f>
        <v/>
      </c>
      <c r="H36" s="111" t="n">
        <v>17800</v>
      </c>
      <c r="I36" s="167">
        <f>$B$7+$B$9+17800*$B$10</f>
        <v/>
      </c>
      <c r="J36" s="170">
        <f>IF($B$7+$B$9+17800*$B$10&lt;=$B$8,"✓ AU","US/EU")</f>
        <v/>
      </c>
    </row>
    <row r="37" ht="15" customHeight="1" s="103">
      <c r="A37" s="163" t="inlineStr">
        <is>
          <t>Jamaica</t>
        </is>
      </c>
      <c r="B37" s="169" t="inlineStr">
        <is>
          <t>CARICOM</t>
        </is>
      </c>
      <c r="C37" s="111" t="n">
        <v>180</v>
      </c>
      <c r="D37" s="156" t="n">
        <v>5.6</v>
      </c>
      <c r="E37" s="165" t="n">
        <v>0.32</v>
      </c>
      <c r="F37" s="165" t="n">
        <v>0.85</v>
      </c>
      <c r="G37" s="166">
        <f>180*1000*8760*$B$6/$B$5/1000</f>
        <v/>
      </c>
      <c r="H37" s="111" t="n">
        <v>16400</v>
      </c>
      <c r="I37" s="167">
        <f>$B$7+$B$9+16400*$B$10</f>
        <v/>
      </c>
      <c r="J37" s="170">
        <f>IF($B$7+$B$9+16400*$B$10&lt;=$B$8,"✓ AU","US/EU")</f>
        <v/>
      </c>
    </row>
    <row r="38" ht="15" customHeight="1" s="103">
      <c r="A38" s="163" t="inlineStr">
        <is>
          <t>Guyana</t>
        </is>
      </c>
      <c r="B38" s="169" t="inlineStr">
        <is>
          <t>CARICOM</t>
        </is>
      </c>
      <c r="C38" s="111" t="n">
        <v>110</v>
      </c>
      <c r="D38" s="156" t="n">
        <v>5</v>
      </c>
      <c r="E38" s="165" t="n">
        <v>0.35</v>
      </c>
      <c r="F38" s="165" t="n">
        <v>0.45</v>
      </c>
      <c r="G38" s="166">
        <f>110*1000*8760*$B$6/$B$5/1000</f>
        <v/>
      </c>
      <c r="H38" s="111" t="n">
        <v>17600</v>
      </c>
      <c r="I38" s="167">
        <f>$B$7+$B$9+17600*$B$10</f>
        <v/>
      </c>
      <c r="J38" s="170">
        <f>IF($B$7+$B$9+17600*$B$10&lt;=$B$8,"✓ AU","US/EU")</f>
        <v/>
      </c>
    </row>
    <row r="39" ht="15" customHeight="1" s="103">
      <c r="A39" s="163" t="inlineStr">
        <is>
          <t>Suriname</t>
        </is>
      </c>
      <c r="B39" s="169" t="inlineStr">
        <is>
          <t>CARICOM</t>
        </is>
      </c>
      <c r="C39" s="111" t="n">
        <v>85</v>
      </c>
      <c r="D39" s="156" t="n">
        <v>4.8</v>
      </c>
      <c r="E39" s="165" t="n">
        <v>0.3</v>
      </c>
      <c r="F39" s="165" t="n">
        <v>0.4</v>
      </c>
      <c r="G39" s="166">
        <f>85*1000*8760*$B$6/$B$5/1000</f>
        <v/>
      </c>
      <c r="H39" s="111" t="n">
        <v>17800</v>
      </c>
      <c r="I39" s="167">
        <f>$B$7+$B$9+17800*$B$10</f>
        <v/>
      </c>
      <c r="J39" s="170">
        <f>IF($B$7+$B$9+17800*$B$10&lt;=$B$8,"✓ AU","US/EU")</f>
        <v/>
      </c>
    </row>
    <row r="40" ht="15" customHeight="1" s="103">
      <c r="A40" s="163" t="inlineStr">
        <is>
          <t>Haiti</t>
        </is>
      </c>
      <c r="B40" s="169" t="inlineStr">
        <is>
          <t>CARICOM</t>
        </is>
      </c>
      <c r="C40" s="111" t="n">
        <v>95</v>
      </c>
      <c r="D40" s="156" t="n">
        <v>5.4</v>
      </c>
      <c r="E40" s="165" t="n">
        <v>0.3</v>
      </c>
      <c r="F40" s="165" t="n">
        <v>0.8</v>
      </c>
      <c r="G40" s="166">
        <f>95*1000*8760*$B$6/$B$5/1000</f>
        <v/>
      </c>
      <c r="H40" s="111" t="n">
        <v>16500</v>
      </c>
      <c r="I40" s="167">
        <f>$B$7+$B$9+16500*$B$10</f>
        <v/>
      </c>
      <c r="J40" s="170">
        <f>IF($B$7+$B$9+16500*$B$10&lt;=$B$8,"✓ AU","US/EU")</f>
        <v/>
      </c>
    </row>
    <row r="41" ht="15" customHeight="1" s="103">
      <c r="A41" s="163" t="inlineStr">
        <is>
          <t>Bahamas</t>
        </is>
      </c>
      <c r="B41" s="169" t="inlineStr">
        <is>
          <t>CARICOM</t>
        </is>
      </c>
      <c r="C41" s="111" t="n">
        <v>60</v>
      </c>
      <c r="D41" s="156" t="n">
        <v>5.8</v>
      </c>
      <c r="E41" s="165" t="n">
        <v>0.35</v>
      </c>
      <c r="F41" s="165" t="n">
        <v>0.98</v>
      </c>
      <c r="G41" s="166">
        <f>60*1000*8760*$B$6/$B$5/1000</f>
        <v/>
      </c>
      <c r="H41" s="111" t="n">
        <v>15800</v>
      </c>
      <c r="I41" s="167">
        <f>$B$7+$B$9+15800*$B$10</f>
        <v/>
      </c>
      <c r="J41" s="170">
        <f>IF($B$7+$B$9+15800*$B$10&lt;=$B$8,"✓ AU","US/EU")</f>
        <v/>
      </c>
    </row>
    <row r="42" ht="15" customHeight="1" s="103">
      <c r="A42" s="163" t="inlineStr">
        <is>
          <t>Belize</t>
        </is>
      </c>
      <c r="B42" s="169" t="inlineStr">
        <is>
          <t>CARICOM</t>
        </is>
      </c>
      <c r="C42" s="111" t="n">
        <v>55</v>
      </c>
      <c r="D42" s="156" t="n">
        <v>5.5</v>
      </c>
      <c r="E42" s="165" t="n">
        <v>0.28</v>
      </c>
      <c r="F42" s="165" t="n">
        <v>0.55</v>
      </c>
      <c r="G42" s="166">
        <f>55*1000*8760*$B$6/$B$5/1000</f>
        <v/>
      </c>
      <c r="H42" s="111" t="n">
        <v>16200</v>
      </c>
      <c r="I42" s="167">
        <f>$B$7+$B$9+16200*$B$10</f>
        <v/>
      </c>
      <c r="J42" s="170">
        <f>IF($B$7+$B$9+16200*$B$10&lt;=$B$8,"✓ AU","US/EU")</f>
        <v/>
      </c>
    </row>
    <row r="43" ht="15" customHeight="1" s="103">
      <c r="A43" s="163" t="inlineStr">
        <is>
          <t>St Lucia</t>
        </is>
      </c>
      <c r="B43" s="169" t="inlineStr">
        <is>
          <t>CARICOM</t>
        </is>
      </c>
      <c r="C43" s="111" t="n">
        <v>25</v>
      </c>
      <c r="D43" s="156" t="n">
        <v>5.6</v>
      </c>
      <c r="E43" s="165" t="n">
        <v>0.3</v>
      </c>
      <c r="F43" s="165" t="n">
        <v>0.95</v>
      </c>
      <c r="G43" s="166">
        <f>25*1000*8760*$B$6/$B$5/1000</f>
        <v/>
      </c>
      <c r="H43" s="111" t="n">
        <v>17100</v>
      </c>
      <c r="I43" s="167">
        <f>$B$7+$B$9+17100*$B$10</f>
        <v/>
      </c>
      <c r="J43" s="170">
        <f>IF($B$7+$B$9+17100*$B$10&lt;=$B$8,"✓ AU","US/EU")</f>
        <v/>
      </c>
    </row>
    <row r="44" ht="15" customHeight="1" s="103">
      <c r="A44" s="163" t="inlineStr">
        <is>
          <t>Antigua &amp; Barbuda</t>
        </is>
      </c>
      <c r="B44" s="169" t="inlineStr">
        <is>
          <t>CARICOM</t>
        </is>
      </c>
      <c r="C44" s="111" t="n">
        <v>20</v>
      </c>
      <c r="D44" s="156" t="n">
        <v>5.9</v>
      </c>
      <c r="E44" s="165" t="n">
        <v>0.38</v>
      </c>
      <c r="F44" s="165" t="n">
        <v>0.99</v>
      </c>
      <c r="G44" s="166">
        <f>20*1000*8760*$B$6/$B$5/1000</f>
        <v/>
      </c>
      <c r="H44" s="111" t="n">
        <v>16900</v>
      </c>
      <c r="I44" s="167">
        <f>$B$7+$B$9+16900*$B$10</f>
        <v/>
      </c>
      <c r="J44" s="170">
        <f>IF($B$7+$B$9+16900*$B$10&lt;=$B$8,"✓ AU","US/EU")</f>
        <v/>
      </c>
    </row>
    <row r="45" ht="15" customHeight="1" s="103">
      <c r="A45" s="163" t="inlineStr">
        <is>
          <t>Grenada</t>
        </is>
      </c>
      <c r="B45" s="169" t="inlineStr">
        <is>
          <t>CARICOM</t>
        </is>
      </c>
      <c r="C45" s="111" t="n">
        <v>18</v>
      </c>
      <c r="D45" s="156" t="n">
        <v>5.6</v>
      </c>
      <c r="E45" s="165" t="n">
        <v>0.32</v>
      </c>
      <c r="F45" s="165" t="n">
        <v>0.9</v>
      </c>
      <c r="G45" s="166">
        <f>18*1000*8760*$B$6/$B$5/1000</f>
        <v/>
      </c>
      <c r="H45" s="111" t="n">
        <v>17500</v>
      </c>
      <c r="I45" s="167">
        <f>$B$7+$B$9+17500*$B$10</f>
        <v/>
      </c>
      <c r="J45" s="170">
        <f>IF($B$7+$B$9+17500*$B$10&lt;=$B$8,"✓ AU","US/EU")</f>
        <v/>
      </c>
    </row>
    <row r="46" ht="15" customHeight="1" s="103">
      <c r="A46" s="163" t="inlineStr">
        <is>
          <t>St Vincent</t>
        </is>
      </c>
      <c r="B46" s="169" t="inlineStr">
        <is>
          <t>CARICOM</t>
        </is>
      </c>
      <c r="C46" s="111" t="n">
        <v>18</v>
      </c>
      <c r="D46" s="156" t="n">
        <v>5.5</v>
      </c>
      <c r="E46" s="165" t="n">
        <v>0.28</v>
      </c>
      <c r="F46" s="165" t="n">
        <v>0.9</v>
      </c>
      <c r="G46" s="166">
        <f>18*1000*8760*$B$6/$B$5/1000</f>
        <v/>
      </c>
      <c r="H46" s="111" t="n">
        <v>17300</v>
      </c>
      <c r="I46" s="167">
        <f>$B$7+$B$9+17300*$B$10</f>
        <v/>
      </c>
      <c r="J46" s="170">
        <f>IF($B$7+$B$9+17300*$B$10&lt;=$B$8,"✓ AU","US/EU")</f>
        <v/>
      </c>
    </row>
    <row r="47" ht="15" customHeight="1" s="103">
      <c r="A47" s="163" t="inlineStr">
        <is>
          <t>Dominica</t>
        </is>
      </c>
      <c r="B47" s="169" t="inlineStr">
        <is>
          <t>CARICOM</t>
        </is>
      </c>
      <c r="C47" s="111" t="n">
        <v>15</v>
      </c>
      <c r="D47" s="156" t="n">
        <v>5</v>
      </c>
      <c r="E47" s="165" t="n">
        <v>0.3</v>
      </c>
      <c r="F47" s="165" t="n">
        <v>0.4</v>
      </c>
      <c r="G47" s="166">
        <f>15*1000*8760*$B$6/$B$5/1000</f>
        <v/>
      </c>
      <c r="H47" s="111" t="n">
        <v>17000</v>
      </c>
      <c r="I47" s="167">
        <f>$B$7+$B$9+17000*$B$10</f>
        <v/>
      </c>
      <c r="J47" s="170">
        <f>IF($B$7+$B$9+17000*$B$10&lt;=$B$8,"✓ AU","US/EU")</f>
        <v/>
      </c>
    </row>
    <row r="48" ht="15" customHeight="1" s="103">
      <c r="A48" s="163" t="inlineStr">
        <is>
          <t>St Kitts &amp; Nevis</t>
        </is>
      </c>
      <c r="B48" s="169" t="inlineStr">
        <is>
          <t>CARICOM</t>
        </is>
      </c>
      <c r="C48" s="111" t="n">
        <v>12</v>
      </c>
      <c r="D48" s="156" t="n">
        <v>5.8</v>
      </c>
      <c r="E48" s="165" t="n">
        <v>0.35</v>
      </c>
      <c r="F48" s="165" t="n">
        <v>0.99</v>
      </c>
      <c r="G48" s="166">
        <f>12*1000*8760*$B$6/$B$5/1000</f>
        <v/>
      </c>
      <c r="H48" s="111" t="n">
        <v>16800</v>
      </c>
      <c r="I48" s="167">
        <f>$B$7+$B$9+16800*$B$10</f>
        <v/>
      </c>
      <c r="J48" s="170">
        <f>IF($B$7+$B$9+16800*$B$10&lt;=$B$8,"✓ AU","US/EU")</f>
        <v/>
      </c>
    </row>
    <row r="49" ht="15" customHeight="1" s="103">
      <c r="A49" s="171" t="inlineStr">
        <is>
          <t>★ Barbados</t>
        </is>
      </c>
      <c r="B49" s="169" t="inlineStr">
        <is>
          <t>CARICOM</t>
        </is>
      </c>
      <c r="C49" s="111" t="n">
        <v>45</v>
      </c>
      <c r="D49" s="156" t="n">
        <v>5.8</v>
      </c>
      <c r="E49" s="165" t="n">
        <v>0.28</v>
      </c>
      <c r="F49" s="165" t="n">
        <v>0.98</v>
      </c>
      <c r="G49" s="166">
        <f>45*1000*8760*$B$6/$B$5/1000</f>
        <v/>
      </c>
      <c r="H49" s="111" t="n">
        <v>17200</v>
      </c>
      <c r="I49" s="167">
        <f>$B$7+$B$9+17200*$B$10</f>
        <v/>
      </c>
      <c r="J49" s="170">
        <f>IF($B$7+$B$9+17200*$B$10&lt;=$B$8,"✓ AU","US/EU")</f>
        <v/>
      </c>
    </row>
    <row r="50" ht="15" customHeight="1" s="103">
      <c r="A50" s="172" t="inlineStr">
        <is>
          <t>Montserrat</t>
        </is>
      </c>
      <c r="B50" s="173" t="inlineStr">
        <is>
          <t>CARICOM</t>
        </is>
      </c>
      <c r="C50" s="174" t="n">
        <v>2</v>
      </c>
      <c r="D50" s="175" t="n">
        <v>5.7</v>
      </c>
      <c r="E50" s="175" t="n">
        <v>0.3</v>
      </c>
      <c r="F50" s="175" t="n">
        <v>0.99</v>
      </c>
      <c r="G50" s="175" t="n">
        <v>111</v>
      </c>
      <c r="H50" s="175" t="n">
        <v>17000</v>
      </c>
      <c r="I50" s="175" t="n">
        <v>7.3</v>
      </c>
      <c r="J50" s="175" t="inlineStr">
        <is>
          <t>US/EU</t>
        </is>
      </c>
    </row>
    <row r="51" ht="15.75" customHeight="1" s="103">
      <c r="A51" s="176" t="inlineStr">
        <is>
          <t>TOTAL — All Nations</t>
        </is>
      </c>
      <c r="B51" s="177" t="inlineStr">
        <is>
          <t>30 nations</t>
        </is>
      </c>
      <c r="C51" s="178">
        <f>SUM(C21:C49)</f>
        <v/>
      </c>
      <c r="D51" s="177" t="inlineStr">
        <is>
          <t>—</t>
        </is>
      </c>
      <c r="E51" s="177" t="inlineStr">
        <is>
          <t>—</t>
        </is>
      </c>
      <c r="F51" s="177" t="inlineStr">
        <is>
          <t>—</t>
        </is>
      </c>
      <c r="G51" s="178">
        <f>SUM(G21:G49)</f>
        <v/>
      </c>
      <c r="H51" s="177" t="inlineStr">
        <is>
          <t>—</t>
        </is>
      </c>
      <c r="I51" s="177" t="inlineStr">
        <is>
          <t>—</t>
        </is>
      </c>
      <c r="J51" s="177" t="inlineStr">
        <is>
          <t>—</t>
        </is>
      </c>
    </row>
    <row r="52" ht="15" customHeight="1" s="103">
      <c r="A52" s="179" t="inlineStr">
        <is>
          <t xml:space="preserve">  Pacific only (15 nations)</t>
        </is>
      </c>
      <c r="B52" s="180" t="inlineStr">
        <is>
          <t>—</t>
        </is>
      </c>
      <c r="C52" s="180" t="inlineStr">
        <is>
          <t>—</t>
        </is>
      </c>
      <c r="D52" s="180" t="inlineStr">
        <is>
          <t>—</t>
        </is>
      </c>
      <c r="E52" s="180" t="inlineStr">
        <is>
          <t>—</t>
        </is>
      </c>
      <c r="F52" s="180" t="inlineStr">
        <is>
          <t>—</t>
        </is>
      </c>
      <c r="G52" s="181">
        <f>SUM(G21:G35)</f>
        <v/>
      </c>
      <c r="H52" s="180" t="inlineStr">
        <is>
          <t>—</t>
        </is>
      </c>
      <c r="I52" s="180" t="inlineStr">
        <is>
          <t>—</t>
        </is>
      </c>
      <c r="J52" s="180" t="inlineStr">
        <is>
          <t>—</t>
        </is>
      </c>
    </row>
    <row r="53" ht="15" customHeight="1" s="103">
      <c r="A53" s="102" t="n"/>
    </row>
    <row r="54" ht="90.75" customHeight="1" s="103">
      <c r="A54" s="157" t="inlineStr">
        <is>
          <t>Note: Pacific figures modelled from Global Solar/Wind Atlas. CARICOM figures modelled similarly. Pending: Pacific H₂ Strategy Report C (DCCEEW/UNSW ~2026); CCREEE per-country IRP data. Excess RE = renewable capacity available after domestic demand — conservative estimate.</t>
        </is>
      </c>
    </row>
  </sheetData>
  <mergeCells count="12">
    <mergeCell ref="A1:J1"/>
    <mergeCell ref="A12:E12"/>
    <mergeCell ref="A4:E4"/>
    <mergeCell ref="B17:E17"/>
    <mergeCell ref="C5:E10"/>
    <mergeCell ref="B13:E13"/>
    <mergeCell ref="B16:E16"/>
    <mergeCell ref="A53:J53"/>
    <mergeCell ref="B15:E15"/>
    <mergeCell ref="A2:J2"/>
    <mergeCell ref="B14:E14"/>
    <mergeCell ref="A19:J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02" min="1" max="1"/>
    <col width="18" customWidth="1" style="102" min="2" max="2"/>
    <col width="30" customWidth="1" style="102" min="3" max="3"/>
  </cols>
  <sheetData>
    <row r="1" ht="36" customHeight="1" s="103">
      <c r="A1" s="123" t="inlineStr">
        <is>
          <t>GREEN HYDROGEN → AUSTRALIAN GREEN IRON  |  ECONOMICS &amp; MULTIPLIERS</t>
        </is>
      </c>
    </row>
    <row r="2" ht="15" customHeight="1" s="103">
      <c r="A2" s="155" t="inlineStr">
        <is>
          <t>Phase 1: SRD funds energy sovereignty. Phase 2 (post-2031): Excess RE → H₂ export → AU green iron → Asian steel. ⚠ Green iron H₂ DRI is unproven at commercial scale. Model as contingent on AU industry scaling.</t>
        </is>
      </c>
    </row>
    <row r="4" ht="18" customHeight="1" s="103">
      <c r="A4" s="106" t="inlineStr">
        <is>
          <t>PHASE 2 — H₂ IMPORT PARAMETERS (from document sources)</t>
        </is>
      </c>
    </row>
    <row r="5" ht="15.75" customHeight="1" s="103">
      <c r="A5" s="107" t="inlineStr">
        <is>
          <t>Green Iron Target — single plant (Mtpa)</t>
        </is>
      </c>
      <c r="B5" s="156" t="n">
        <v>4.8</v>
      </c>
      <c r="C5" s="157" t="inlineStr">
        <is>
          <t>Source: Minerals Institute WA (single 4.8 Mtpa plant)</t>
        </is>
      </c>
    </row>
    <row r="6" ht="15.75" customHeight="1" s="103">
      <c r="A6" s="107" t="inlineStr">
        <is>
          <t>H₂ intensity (kg H₂ per tonne DRI)</t>
        </is>
      </c>
      <c r="B6" s="111" t="n">
        <v>55</v>
      </c>
      <c r="C6" s="157" t="inlineStr">
        <is>
          <t>Source: Industry average; range 50–60 kg/t (technical literature)</t>
        </is>
      </c>
    </row>
    <row r="7" ht="15.75" customHeight="1" s="103">
      <c r="A7" s="107" t="inlineStr">
        <is>
          <t>Total H₂ required — single plant (t/yr)</t>
        </is>
      </c>
      <c r="B7" s="166">
        <f>B5*B6*1000</f>
        <v/>
      </c>
      <c r="C7" s="182" t="inlineStr">
        <is>
          <t>green iron target × H₂ intensity × 1000 kg/t</t>
        </is>
      </c>
    </row>
    <row r="8" ht="15.75" customHeight="1" s="103">
      <c r="A8" s="107" t="inlineStr">
        <is>
          <t>SIDS market share of AU H₂ demand</t>
        </is>
      </c>
      <c r="B8" s="165" t="n">
        <v>0.2</v>
      </c>
      <c r="C8" s="157" t="inlineStr">
        <is>
          <t>Assumption: 20% conservative. See sensitivity in row 15.</t>
        </is>
      </c>
    </row>
    <row r="9" ht="15.75" customHeight="1" s="103">
      <c r="A9" s="107" t="inlineStr">
        <is>
          <t>SIDS H₂ export to AU — single plant (t/yr)</t>
        </is>
      </c>
      <c r="B9" s="166">
        <f>B7*B8</f>
        <v/>
      </c>
      <c r="C9" s="157" t="inlineStr">
        <is>
          <t>SIDS supply if 20% of single plant H₂ demand</t>
        </is>
      </c>
    </row>
    <row r="10" ht="15.75" customHeight="1" s="103">
      <c r="A10" s="107" t="inlineStr">
        <is>
          <t>H₂ gate price ($/kg)</t>
        </is>
      </c>
      <c r="B10" s="158" t="n">
        <v>3.5</v>
      </c>
      <c r="C10" s="157" t="inlineStr">
        <is>
          <t>Source: CSIRO/ARENA 2025-2030 target; see Hydrogen Alliance sheet</t>
        </is>
      </c>
    </row>
    <row r="11" ht="15.75" customHeight="1" s="103">
      <c r="A11" s="107" t="inlineStr">
        <is>
          <t>Annual H₂ export revenue — SIDS ($)</t>
        </is>
      </c>
      <c r="B11" s="113">
        <f>B9*1000*B10</f>
        <v/>
      </c>
      <c r="C11" s="182" t="inlineStr">
        <is>
          <t>t/yr × 1000 kg/t × $/kg</t>
        </is>
      </c>
    </row>
    <row r="13" ht="18" customHeight="1" s="103">
      <c r="A13" s="106" t="inlineStr">
        <is>
          <t>SIDS MARKET SHARE SENSITIVITY  (% of single plant H₂ demand)</t>
        </is>
      </c>
    </row>
    <row r="14" ht="19.5" customHeight="1" s="103">
      <c r="A14" s="162" t="inlineStr">
        <is>
          <t>SIDS Market Share</t>
        </is>
      </c>
      <c r="B14" s="162" t="inlineStr">
        <is>
          <t>H₂ Export (t/yr)</t>
        </is>
      </c>
      <c r="C14" s="162" t="inlineStr">
        <is>
          <t>Annual Revenue ($)</t>
        </is>
      </c>
    </row>
    <row r="15" ht="15" customHeight="1" s="103">
      <c r="A15" s="165" t="n">
        <v>0.05</v>
      </c>
      <c r="B15" s="166">
        <f>B7*0.05</f>
        <v/>
      </c>
      <c r="C15" s="113">
        <f>B7*0.05*1000*B10</f>
        <v/>
      </c>
    </row>
    <row r="16" ht="15" customHeight="1" s="103">
      <c r="A16" s="165" t="n">
        <v>0.1</v>
      </c>
      <c r="B16" s="166">
        <f>B7*0.1</f>
        <v/>
      </c>
      <c r="C16" s="113">
        <f>B7*0.1*1000*B10</f>
        <v/>
      </c>
    </row>
    <row r="17" ht="15" customHeight="1" s="103">
      <c r="A17" s="165" t="n">
        <v>0.15</v>
      </c>
      <c r="B17" s="166">
        <f>B7*0.15</f>
        <v/>
      </c>
      <c r="C17" s="113">
        <f>B7*0.15*1000*B10</f>
        <v/>
      </c>
    </row>
    <row r="18" ht="15" customHeight="1" s="103">
      <c r="A18" s="183" t="n">
        <v>0.2</v>
      </c>
      <c r="B18" s="184">
        <f>B7*0.2</f>
        <v/>
      </c>
      <c r="C18" s="185">
        <f>B7*0.2*1000*B10</f>
        <v/>
      </c>
    </row>
    <row r="19" ht="15" customHeight="1" s="103">
      <c r="A19" s="165" t="n">
        <v>0.3</v>
      </c>
      <c r="B19" s="166">
        <f>B7*0.3</f>
        <v/>
      </c>
      <c r="C19" s="113">
        <f>B7*0.3*1000*B10</f>
        <v/>
      </c>
    </row>
    <row r="20" ht="15" customHeight="1" s="103">
      <c r="A20" s="165" t="n">
        <v>0.4</v>
      </c>
      <c r="B20" s="166">
        <f>B7*0.4</f>
        <v/>
      </c>
      <c r="C20" s="113">
        <f>B7*0.4*1000*B10</f>
        <v/>
      </c>
    </row>
    <row r="21" ht="15" customHeight="1" s="103">
      <c r="A21" s="165" t="n">
        <v>0.5</v>
      </c>
      <c r="B21" s="166">
        <f>B7*0.5</f>
        <v/>
      </c>
      <c r="C21" s="113">
        <f>B7*0.5*1000*B10</f>
        <v/>
      </c>
    </row>
    <row r="22" ht="15" customHeight="1" s="103">
      <c r="A22" s="157" t="inlineStr">
        <is>
          <t>Highlighted row = base case (20%). Source: Assumption pending offtake agreements.</t>
        </is>
      </c>
    </row>
    <row r="24" ht="18" customHeight="1" s="103">
      <c r="A24" s="106" t="inlineStr">
        <is>
          <t>SIDS SWF RECIPROCAL INVESTMENT IN AU GREEN IRON</t>
        </is>
      </c>
    </row>
    <row r="25" ht="15.75" customHeight="1" s="103">
      <c r="A25" s="107" t="inlineStr">
        <is>
          <t>SIDS SWF Year 25 (from SWF Projection sheet)</t>
        </is>
      </c>
      <c r="B25" s="113">
        <f>'SWF Projection'!C28</f>
        <v/>
      </c>
      <c r="C25" s="157" t="inlineStr">
        <is>
          <t>Links to SWF Projection sheet C28</t>
        </is>
      </c>
    </row>
    <row r="26" ht="15.75" customHeight="1" s="103">
      <c r="A26" s="107" t="inlineStr">
        <is>
          <t>Reciprocal investment rate</t>
        </is>
      </c>
      <c r="B26" s="112" t="n">
        <v>0.075</v>
      </c>
      <c r="C26" s="157" t="inlineStr">
        <is>
          <t>7.5% of SWF to Australian assets (SRD doc)</t>
        </is>
      </c>
    </row>
    <row r="27" ht="15.75" customHeight="1" s="103">
      <c r="A27" s="107" t="inlineStr">
        <is>
          <t>Total reciprocal investment ($)</t>
        </is>
      </c>
      <c r="B27" s="113">
        <f>B25*B26</f>
        <v/>
      </c>
      <c r="C27" s="182" t="inlineStr">
        <is>
          <t>SWF × 7.5%</t>
        </is>
      </c>
    </row>
    <row r="28" ht="15.75" customHeight="1" s="103">
      <c r="A28" s="107" t="inlineStr">
        <is>
          <t>Allocation to green iron processing</t>
        </is>
      </c>
      <c r="B28" s="165" t="n">
        <v>0.6</v>
      </c>
      <c r="C28" s="157" t="inlineStr">
        <is>
          <t>60% of reciprocal to green iron</t>
        </is>
      </c>
    </row>
    <row r="29" ht="15.75" customHeight="1" s="103">
      <c r="A29" s="107" t="inlineStr">
        <is>
          <t>Investment in processing capacity ($)</t>
        </is>
      </c>
      <c r="B29" s="186">
        <f>B27*B28</f>
        <v/>
      </c>
      <c r="C29" s="182" t="inlineStr">
        <is>
          <t>reciprocal × 60%</t>
        </is>
      </c>
    </row>
    <row r="30" ht="15.75" customHeight="1" s="103">
      <c r="A30" s="107" t="inlineStr">
        <is>
          <t>Estimated plant capex ($)</t>
        </is>
      </c>
      <c r="B30" s="108" t="n">
        <v>5000000000</v>
      </c>
      <c r="C30" s="157" t="inlineStr">
        <is>
          <t>Rough estimate; range $3–8B. Pending confirmed DRI projects.</t>
        </is>
      </c>
    </row>
    <row r="31" ht="15.75" customHeight="1" s="103">
      <c r="A31" s="107" t="inlineStr">
        <is>
          <t>Equity stake in 4.8Mtpa plant</t>
        </is>
      </c>
      <c r="B31" s="187">
        <f>B29/B30</f>
        <v/>
      </c>
      <c r="C31" s="157" t="inlineStr">
        <is>
          <t>≈ Processing investment ÷ plant capex</t>
        </is>
      </c>
    </row>
    <row r="32" ht="15.75" customHeight="1" s="103">
      <c r="A32" s="107" t="inlineStr">
        <is>
          <t>Indirect jobs (proportional to stake)</t>
        </is>
      </c>
      <c r="B32" s="115">
        <f>1540*B31</f>
        <v/>
      </c>
      <c r="C32" s="157" t="inlineStr">
        <is>
          <t>Source: Minerals Institute WA (1,540 FTE per plant × equity %)</t>
        </is>
      </c>
    </row>
    <row r="33" ht="21.75" customHeight="1" s="103">
      <c r="A33" s="188" t="inlineStr">
        <is>
          <t>⚠ Plant capex ($5B) is a rough estimate. Real DRI plants vary $3–8B depending on scale, technology (shaft furnace vs flash calciner), and location. Update when DRI projects confirmed.</t>
        </is>
      </c>
    </row>
    <row r="35" ht="18" customHeight="1" s="103">
      <c r="A35" s="106" t="inlineStr">
        <is>
          <t>ECONOMIC MULTIPLIERS — PER 4.8 Mtpa GREEN IRON PLANT</t>
        </is>
      </c>
    </row>
    <row r="36" ht="21.75" customHeight="1" s="103">
      <c r="A36" s="162" t="inlineStr">
        <is>
          <t>Metric</t>
        </is>
      </c>
      <c r="B36" s="162" t="inlineStr">
        <is>
          <t>Value</t>
        </is>
      </c>
      <c r="C36" s="162" t="inlineStr">
        <is>
          <t>Source</t>
        </is>
      </c>
    </row>
    <row r="37" ht="15" customHeight="1" s="103">
      <c r="A37" s="189" t="inlineStr">
        <is>
          <t>GDP contribution (cumulative)</t>
        </is>
      </c>
      <c r="B37" s="190" t="inlineStr">
        <is>
          <t>$85B</t>
        </is>
      </c>
      <c r="C37" s="157" t="inlineStr">
        <is>
          <t>Minerals Institute of WA (2024)</t>
        </is>
      </c>
    </row>
    <row r="38" ht="15" customHeight="1" s="103">
      <c r="A38" s="189" t="inlineStr">
        <is>
          <t>Annual real income added</t>
        </is>
      </c>
      <c r="B38" s="190" t="inlineStr">
        <is>
          <t>$2.4B/yr</t>
        </is>
      </c>
      <c r="C38" s="157" t="inlineStr">
        <is>
          <t>Minerals Institute of WA (2024)</t>
        </is>
      </c>
    </row>
    <row r="39" ht="15" customHeight="1" s="103">
      <c r="A39" s="189" t="inlineStr">
        <is>
          <t>Full-time jobs created</t>
        </is>
      </c>
      <c r="B39" s="190" t="inlineStr">
        <is>
          <t>1,540 FTE</t>
        </is>
      </c>
      <c r="C39" s="157" t="inlineStr">
        <is>
          <t>Minerals Institute of WA (2024)</t>
        </is>
      </c>
    </row>
    <row r="40" ht="15" customHeight="1" s="103">
      <c r="A40" s="189" t="inlineStr">
        <is>
          <t>Green iron export revenue</t>
        </is>
      </c>
      <c r="B40" s="190" t="inlineStr">
        <is>
          <t>$12–15B/yr</t>
        </is>
      </c>
      <c r="C40" s="157" t="inlineStr">
        <is>
          <t>Accenture / estimated</t>
        </is>
      </c>
    </row>
    <row r="41" ht="15" customHeight="1" s="103">
      <c r="A41" s="189" t="inlineStr">
        <is>
          <t>State tax revenue (annual)</t>
        </is>
      </c>
      <c r="B41" s="190" t="inlineStr">
        <is>
          <t>~$1.2B</t>
        </is>
      </c>
      <c r="C41" s="157" t="inlineStr">
        <is>
          <t>Estimated</t>
        </is>
      </c>
    </row>
    <row r="42" ht="15" customHeight="1" s="103">
      <c r="A42" s="189" t="inlineStr">
        <is>
          <t>Industry export total by 2040</t>
        </is>
      </c>
      <c r="B42" s="190" t="inlineStr">
        <is>
          <t>$122B</t>
        </is>
      </c>
      <c r="C42" s="157" t="inlineStr">
        <is>
          <t>Accenture Report (green metals industry)</t>
        </is>
      </c>
    </row>
    <row r="43" ht="15" customHeight="1" s="103">
      <c r="A43" s="189" t="inlineStr">
        <is>
          <t>Annual range — full industry</t>
        </is>
      </c>
      <c r="B43" s="190" t="inlineStr">
        <is>
          <t>$96–295B/yr</t>
        </is>
      </c>
      <c r="C43" s="157" t="inlineStr">
        <is>
          <t>Deloitte / WWF-Australia Report</t>
        </is>
      </c>
    </row>
    <row r="44" ht="15" customHeight="1" s="103">
      <c r="A44" s="189" t="inlineStr">
        <is>
          <t>AU Government Green Iron Fund</t>
        </is>
      </c>
      <c r="B44" s="190" t="inlineStr">
        <is>
          <t>$1B committed</t>
        </is>
      </c>
      <c r="C44" s="157" t="inlineStr">
        <is>
          <t>Dept of Industry, Science &amp; Resources</t>
        </is>
      </c>
    </row>
    <row r="45" ht="15" customHeight="1" s="103">
      <c r="A45" s="189" t="inlineStr">
        <is>
          <t>Calix ZESTY demonstration</t>
        </is>
      </c>
      <c r="B45" s="190" t="inlineStr">
        <is>
          <t>$44.9M ARENA grant; 30,000 t/yr demo underway</t>
        </is>
      </c>
      <c r="C45" s="157" t="inlineStr">
        <is>
          <t>ARENA 2024</t>
        </is>
      </c>
    </row>
    <row r="46" ht="15" customHeight="1" s="103">
      <c r="A46" s="189" t="inlineStr">
        <is>
          <t>Carbon price needed (Rio Tinto CTO)</t>
        </is>
      </c>
      <c r="B46" s="191" t="inlineStr">
        <is>
          <t>~$200/t  ← policy gap</t>
        </is>
      </c>
      <c r="C46" s="157" t="inlineStr">
        <is>
          <t>Rio Tinto CTO, 2024 (risk)</t>
        </is>
      </c>
    </row>
    <row r="48" ht="18" customHeight="1" s="103">
      <c r="A48" s="106" t="inlineStr">
        <is>
          <t>HONEST RISK ASSESSMENT (per IEEFA + Rio Tinto analysis)</t>
        </is>
      </c>
    </row>
    <row r="49" ht="18" customHeight="1" s="103">
      <c r="A49" s="162" t="inlineStr">
        <is>
          <t>Risk / Barrier</t>
        </is>
      </c>
      <c r="B49" s="162" t="inlineStr">
        <is>
          <t>Category</t>
        </is>
      </c>
      <c r="C49" s="162" t="inlineStr">
        <is>
          <t>Context/Mitigation</t>
        </is>
      </c>
    </row>
    <row r="50" ht="15" customHeight="1" s="103">
      <c r="A50" s="189" t="inlineStr">
        <is>
          <t>H₂ DRI unproven at commercial scale</t>
        </is>
      </c>
      <c r="B50" s="192" t="inlineStr">
        <is>
          <t>Technology risk</t>
        </is>
      </c>
      <c r="C50" s="157" t="inlineStr">
        <is>
          <t>Calix ZESTY 30Kt/yr demo is largest current proof-of-concept</t>
        </is>
      </c>
    </row>
    <row r="51" ht="15" customHeight="1" s="103">
      <c r="A51" s="189" t="inlineStr">
        <is>
          <t>AU construction costs high vs competitors</t>
        </is>
      </c>
      <c r="B51" s="192" t="inlineStr">
        <is>
          <t>Economic risk</t>
        </is>
      </c>
      <c r="C51" s="157" t="inlineStr">
        <is>
          <t>IEEFA: acknowledged; location premium real</t>
        </is>
      </c>
    </row>
    <row r="52" ht="15" customHeight="1" s="103">
      <c r="A52" s="189" t="inlineStr">
        <is>
          <t>AU iron ore is low-grade (higher processing)</t>
        </is>
      </c>
      <c r="B52" s="192" t="inlineStr">
        <is>
          <t>Technical risk</t>
        </is>
      </c>
      <c r="C52" s="157" t="inlineStr">
        <is>
          <t>Additional beneficiation needed vs premium ores</t>
        </is>
      </c>
    </row>
    <row r="53" ht="15" customHeight="1" s="103">
      <c r="A53" s="189" t="inlineStr">
        <is>
          <t>Carbon price ~$200/t needed (not current)</t>
        </is>
      </c>
      <c r="B53" s="192" t="inlineStr">
        <is>
          <t>Policy gap</t>
        </is>
      </c>
      <c r="C53" s="157" t="inlineStr">
        <is>
          <t>No AU carbon price at this level currently</t>
        </is>
      </c>
    </row>
    <row r="54" ht="15" customHeight="1" s="103">
      <c r="A54" s="189" t="inlineStr">
        <is>
          <t>Middle East cheaper on gas DRI short-term</t>
        </is>
      </c>
      <c r="B54" s="192" t="inlineStr">
        <is>
          <t>Competitive risk</t>
        </is>
      </c>
      <c r="C54" s="157" t="inlineStr">
        <is>
          <t>IEEFA: AU must leapfrog to H₂ as only viable long-run path</t>
        </is>
      </c>
    </row>
    <row r="55" ht="15" customHeight="1" s="103">
      <c r="A55" s="189" t="inlineStr">
        <is>
          <t>AU cannot produce H₂ at scale domestically</t>
        </is>
      </c>
      <c r="B55" s="192" t="inlineStr">
        <is>
          <t>Supply gap → SIDS opportunity</t>
        </is>
      </c>
      <c r="C55" s="157" t="inlineStr">
        <is>
          <t>IEEFA: SIDS imports not optional—essential to scaling</t>
        </is>
      </c>
    </row>
    <row r="56" ht="32.25" customHeight="1" s="103">
      <c r="A56" s="188" t="inlineStr">
        <is>
          <t>Recommendation: Model H₂ layer as SRD Phase 2 (post-2031), contingent on AU green iron scaling. 'Today I don't believe there is an economic incentive for anybody to move to a hydrogen DRI.' — Rio Tinto CTO (2024). IEEFA counter: gas DRI cannot compete with Middle East long-run; H₂ DRI is AU's only path.</t>
        </is>
      </c>
    </row>
    <row r="58" ht="18" customHeight="1" s="103">
      <c r="A58" s="193" t="inlineStr">
        <is>
          <t>H₂ PRICE SCENARIOS — IMPACT ON AU MARKET VIABILITY</t>
        </is>
      </c>
      <c r="B58" s="194" t="n"/>
      <c r="C58" s="194" t="n"/>
    </row>
    <row r="59" ht="15" customHeight="1" s="103">
      <c r="A59" s="195" t="inlineStr">
        <is>
          <t>Year</t>
        </is>
      </c>
      <c r="B59" s="195" t="inlineStr">
        <is>
          <t>Gate $/kg</t>
        </is>
      </c>
      <c r="C59" s="195" t="inlineStr">
        <is>
          <t>Notes</t>
        </is>
      </c>
    </row>
    <row r="60" ht="15" customHeight="1" s="103">
      <c r="A60" s="196" t="inlineStr">
        <is>
          <t>2025</t>
        </is>
      </c>
      <c r="B60" s="197" t="n">
        <v>3.5</v>
      </c>
      <c r="C60" s="198" t="inlineStr">
        <is>
          <t>Current — all Pacific nations AU-viable (max dist 5,200 km → $4.94/kg delivered)</t>
        </is>
      </c>
    </row>
    <row r="61" ht="15" customHeight="1" s="103">
      <c r="A61" s="196" t="inlineStr">
        <is>
          <t>2030</t>
        </is>
      </c>
      <c r="B61" s="197" t="n">
        <v>2.5</v>
      </c>
      <c r="C61" s="198" t="inlineStr">
        <is>
          <t>Mid-term — Pacific viable H₂ grows as lower prices attract more electrolyzer investment</t>
        </is>
      </c>
    </row>
    <row r="62" ht="15" customHeight="1" s="103">
      <c r="A62" s="196" t="inlineStr">
        <is>
          <t>2035</t>
        </is>
      </c>
      <c r="B62" s="197" t="n">
        <v>2</v>
      </c>
      <c r="C62" s="198" t="inlineStr">
        <is>
          <t>IRENA green hydrogen target — CARICOM → US Gulf Coast becomes competitive (~$4.50/kg)</t>
        </is>
      </c>
    </row>
    <row r="64" ht="18" customHeight="1" s="103">
      <c r="A64" s="193" t="inlineStr">
        <is>
          <t>KEY INSIGHT — WHY PACIFIC NATIONS DOMINATE AU SUPPLY</t>
        </is>
      </c>
      <c r="B64" s="194" t="n"/>
      <c r="C64" s="194" t="n"/>
    </row>
    <row r="65" ht="19.5" customHeight="1" s="103">
      <c r="A65" s="199" t="inlineStr">
        <is>
          <t>• Pacific proximity (1,400–5,200 km) is the decisive factor — shipping cost only $0.68–1.44/kg vs CARICOM $3.60–4.00/kg</t>
        </is>
      </c>
      <c r="B65" s="194" t="n"/>
      <c r="C65" s="194" t="n"/>
    </row>
    <row r="66" ht="19.5" customHeight="1" s="103">
      <c r="A66" s="199" t="inlineStr">
        <is>
          <t>• All 15 Pacific nations are AU-competitive at 2025 prices ($3.50 gate + shipping ≤ $5/kg)</t>
        </is>
      </c>
      <c r="B66" s="194" t="n"/>
      <c r="C66" s="194" t="n"/>
    </row>
    <row r="67" ht="19.5" customHeight="1" s="103">
      <c r="A67" s="199" t="inlineStr">
        <is>
          <t>• CARICOM nations (15,800–17,800 km) will never be AU-competitive — their market is US Gulf / EU</t>
        </is>
      </c>
      <c r="B67" s="194" t="n"/>
      <c r="C67" s="194" t="n"/>
    </row>
    <row r="68" ht="19.5" customHeight="1" s="103">
      <c r="A68" s="199" t="inlineStr">
        <is>
          <t>• Price reduction scenarios: Pacific supply grows through investment attraction, not AU threshold shifts</t>
        </is>
      </c>
      <c r="B68" s="194" t="n"/>
      <c r="C68" s="194" t="n"/>
    </row>
    <row r="69" ht="19.5" customHeight="1" s="103">
      <c r="A69" s="199" t="inlineStr">
        <is>
          <t>• A single 4.8 Mtpa plant needs 264,000 t H₂/yr — total Pacific potential (~49,000 t/yr) supplies ~19% of one plant</t>
        </is>
      </c>
      <c r="B69" s="194" t="n"/>
      <c r="C69" s="194" t="n"/>
    </row>
    <row r="70" ht="19.5" customHeight="1" s="103">
      <c r="A70" s="199" t="inlineStr">
        <is>
          <t>• Full AU green iron industry at scale would require all Pacific SIDS + new hydrogen exporters (e.g. Indonesia, India)</t>
        </is>
      </c>
      <c r="B70" s="194" t="n"/>
      <c r="C70" s="194" t="n"/>
    </row>
  </sheetData>
  <mergeCells count="18">
    <mergeCell ref="A48:C48"/>
    <mergeCell ref="A33:C33"/>
    <mergeCell ref="A68:C68"/>
    <mergeCell ref="A13:C13"/>
    <mergeCell ref="A66:C66"/>
    <mergeCell ref="A1:C1"/>
    <mergeCell ref="A58:C58"/>
    <mergeCell ref="A22:C22"/>
    <mergeCell ref="A56:C56"/>
    <mergeCell ref="A67:C67"/>
    <mergeCell ref="A70:C70"/>
    <mergeCell ref="A69:C69"/>
    <mergeCell ref="A35:C35"/>
    <mergeCell ref="A4:C4"/>
    <mergeCell ref="A65:C65"/>
    <mergeCell ref="A24:C24"/>
    <mergeCell ref="A2:C2"/>
    <mergeCell ref="A64:C6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02" min="1" max="1"/>
    <col width="12" customWidth="1" style="102" min="2" max="2"/>
    <col width="24" customWidth="1" style="102" min="3" max="3"/>
    <col width="20" customWidth="1" style="102" min="4" max="5"/>
  </cols>
  <sheetData>
    <row r="1" ht="36" customHeight="1" s="103">
      <c r="A1" s="123" t="inlineStr">
        <is>
          <t>DATA GAPS TRACKER — HYDROGEN ALLIANCE MODULE</t>
        </is>
      </c>
    </row>
    <row r="2" ht="15" customHeight="1" s="103">
      <c r="A2" s="155" t="inlineStr">
        <is>
          <t>Track open data gaps. When a source becomes available, update Hydrogen Alliance and H2 Economics sheets. Priority = critical for model defensibility.</t>
        </is>
      </c>
    </row>
    <row r="4" ht="18" customHeight="1" s="103">
      <c r="A4" s="106" t="inlineStr">
        <is>
          <t>OPEN DATA GAPS</t>
        </is>
      </c>
    </row>
    <row r="5" ht="21.75" customHeight="1" s="103">
      <c r="A5" s="162" t="inlineStr">
        <is>
          <t>Data Gap</t>
        </is>
      </c>
      <c r="B5" s="162" t="inlineStr">
        <is>
          <t>Priority</t>
        </is>
      </c>
      <c r="C5" s="162" t="inlineStr">
        <is>
          <t>Source / Contact</t>
        </is>
      </c>
      <c r="D5" s="162" t="inlineStr">
        <is>
          <t>Expected Date</t>
        </is>
      </c>
      <c r="E5" s="162" t="inlineStr">
        <is>
          <t>Repo Path</t>
        </is>
      </c>
    </row>
    <row r="6" ht="27.75" customHeight="1" s="103">
      <c r="A6" s="200" t="inlineStr">
        <is>
          <t>Pacific H₂ Strategy Report C (per-country resource maps, land availability, production cost estimates)</t>
        </is>
      </c>
      <c r="B6" s="192" t="inlineStr">
        <is>
          <t>CRITICAL</t>
        </is>
      </c>
      <c r="C6" s="201" t="inlineStr">
        <is>
          <t>DCCEEW/UNSW Sydney – Pacific H₂ Strategy</t>
        </is>
      </c>
      <c r="D6" s="201" t="inlineStr">
        <is>
          <t>Late 2026</t>
        </is>
      </c>
      <c r="E6" s="201" t="inlineStr">
        <is>
          <t>data/raw/pacific_hydrogen_strategy/report_c/</t>
        </is>
      </c>
    </row>
    <row r="7" ht="27.75" customHeight="1" s="103">
      <c r="A7" s="200" t="inlineStr">
        <is>
          <t>CCREEE Integrated Resource Plans — all 25 CARICOM nations (25-yr power sector plans)</t>
        </is>
      </c>
      <c r="B7" s="192" t="inlineStr">
        <is>
          <t>CRITICAL</t>
        </is>
      </c>
      <c r="C7" s="201" t="inlineStr">
        <is>
          <t>CCREEE – Dr Devon Gardner (Head of Technical Programs)</t>
        </is>
      </c>
      <c r="D7" s="201" t="inlineStr">
        <is>
          <t>End 2024 (8 done; 25 planned)</t>
        </is>
      </c>
      <c r="E7" s="201" t="inlineStr">
        <is>
          <t>data/raw/caricom_ccreee/integrated_resource_plans/</t>
        </is>
      </c>
    </row>
    <row r="8" ht="27.75" customHeight="1" s="103">
      <c r="A8" s="200" t="inlineStr">
        <is>
          <t>Australian green iron H₂ demand trajectory (confirmed DRI plant pipeline)</t>
        </is>
      </c>
      <c r="B8" s="202" t="inlineStr">
        <is>
          <t>HIGH</t>
        </is>
      </c>
      <c r="C8" s="201" t="inlineStr">
        <is>
          <t>ARENA; Dept Industry Science &amp; Resources; state govts (WA, SA, Qld)</t>
        </is>
      </c>
      <c r="D8" s="201" t="inlineStr">
        <is>
          <t>When announced</t>
        </is>
      </c>
      <c r="E8" s="201" t="inlineStr">
        <is>
          <t>data/raw/australia_green_iron/demand_trajectory/</t>
        </is>
      </c>
    </row>
    <row r="9" ht="27.75" customHeight="1" s="103">
      <c r="A9" s="200" t="inlineStr">
        <is>
          <t>Calix ZESTY full techno-economic data (post-demonstration)</t>
        </is>
      </c>
      <c r="B9" s="202" t="inlineStr">
        <is>
          <t>HIGH</t>
        </is>
      </c>
      <c r="C9" s="201" t="inlineStr">
        <is>
          <t>ARENA (calix_zesty grant)</t>
        </is>
      </c>
      <c r="D9" s="201" t="inlineStr">
        <is>
          <t>Post-demo (~2027)</t>
        </is>
      </c>
      <c r="E9" s="201" t="inlineStr">
        <is>
          <t>data/raw/australia_green_iron/arena_calix_zesty/</t>
        </is>
      </c>
    </row>
    <row r="10" ht="27.75" customHeight="1" s="103">
      <c r="A10" s="200" t="inlineStr">
        <is>
          <t>H₂ offtake agreements SIDS → Australia (when signed)</t>
        </is>
      </c>
      <c r="B10" s="202" t="inlineStr">
        <is>
          <t>HIGH</t>
        </is>
      </c>
      <c r="C10" s="201" t="inlineStr">
        <is>
          <t>ARENA / DISR</t>
        </is>
      </c>
      <c r="D10" s="201" t="inlineStr">
        <is>
          <t>TBD</t>
        </is>
      </c>
      <c r="E10" s="201" t="inlineStr">
        <is>
          <t>data/raw/offtake_agreements/</t>
        </is>
      </c>
    </row>
    <row r="11" ht="27.75" customHeight="1" s="103">
      <c r="A11" s="200" t="inlineStr">
        <is>
          <t>Trinidad CertHiLAC certification data (clean H₂ certification system)</t>
        </is>
      </c>
      <c r="B11" s="203" t="inlineStr">
        <is>
          <t>MEDIUM</t>
        </is>
      </c>
      <c r="C11" s="201" t="inlineStr">
        <is>
          <t>IDB; OLADE (Latin America Energy Org)</t>
        </is>
      </c>
      <c r="D11" s="201" t="inlineStr">
        <is>
          <t>Available now</t>
        </is>
      </c>
      <c r="E11" s="201" t="inlineStr">
        <is>
          <t>data/raw/caricom_ccreee/trinidad_certhilac/</t>
        </is>
      </c>
    </row>
    <row r="12" ht="27.75" customHeight="1" s="103">
      <c r="A12" s="200" t="inlineStr">
        <is>
          <t>Barbados HDF Energy/Rubis Renewstable project data (50MW solar+H₂, 2027)</t>
        </is>
      </c>
      <c r="B12" s="203" t="inlineStr">
        <is>
          <t>MEDIUM</t>
        </is>
      </c>
      <c r="C12" s="201" t="inlineStr">
        <is>
          <t>HDF Energy; Rubis Caribbean</t>
        </is>
      </c>
      <c r="D12" s="201" t="inlineStr">
        <is>
          <t>2027 operational</t>
        </is>
      </c>
      <c r="E12" s="201" t="inlineStr">
        <is>
          <t>data/raw/caricom_ccreee/barbados_hydrogen_project/</t>
        </is>
      </c>
    </row>
    <row r="13" ht="27.75" customHeight="1" s="103">
      <c r="A13" s="200" t="inlineStr">
        <is>
          <t>Per-country port depth, handling capacity, grid connection data</t>
        </is>
      </c>
      <c r="B13" s="203" t="inlineStr">
        <is>
          <t>MEDIUM</t>
        </is>
      </c>
      <c r="C13" s="201" t="inlineStr">
        <is>
          <t>National port authorities; national utilities</t>
        </is>
      </c>
      <c r="D13" s="201" t="inlineStr">
        <is>
          <t>On request</t>
        </is>
      </c>
      <c r="E13" s="201" t="inlineStr">
        <is>
          <t>data/raw/pacific_hydrogen_strategy/logistics/</t>
        </is>
      </c>
    </row>
    <row r="14" ht="27.75" customHeight="1" s="103">
      <c r="A14" s="200" t="inlineStr">
        <is>
          <t>Green Iron Investment Fund project pipeline ($1B fund — project selection)</t>
        </is>
      </c>
      <c r="B14" s="204" t="inlineStr">
        <is>
          <t>LOW</t>
        </is>
      </c>
      <c r="C14" s="201" t="inlineStr">
        <is>
          <t>Dept Industry Science &amp; Resources</t>
        </is>
      </c>
      <c r="D14" s="201" t="inlineStr">
        <is>
          <t>Rolling announcements</t>
        </is>
      </c>
      <c r="E14" s="201" t="inlineStr">
        <is>
          <t>data/raw/australia_green_iron/green_iron_fund/</t>
        </is>
      </c>
    </row>
    <row r="15" ht="27.75" customHeight="1" s="103">
      <c r="A15" s="200" t="inlineStr">
        <is>
          <t>Open-source Pacific H₂ techno-economic assessment tool (DCCEEW in development)</t>
        </is>
      </c>
      <c r="B15" s="204" t="inlineStr">
        <is>
          <t>LOW</t>
        </is>
      </c>
      <c r="C15" s="201" t="inlineStr">
        <is>
          <t>DCCEEW; UNSW Sydney</t>
        </is>
      </c>
      <c r="D15" s="201" t="inlineStr">
        <is>
          <t>~2026</t>
        </is>
      </c>
      <c r="E15" s="201" t="inlineStr">
        <is>
          <t>data/raw/pacific_hydrogen_strategy/technoeconomic_tool/</t>
        </is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2026-03-02T23:29:26Z</dcterms:created>
  <dcterms:modified xmlns:dcterms="http://purl.org/dc/terms/" xmlns:xsi="http://www.w3.org/2001/XMLSchema-instance" xsi:type="dcterms:W3CDTF">2026-03-03T02:41:35Z</dcterms:modified>
  <cp:revision>11</cp:revision>
</cp:coreProperties>
</file>