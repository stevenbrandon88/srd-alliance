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ond Cashflows" sheetId="2" state="visible" r:id="rId4"/>
    <sheet name="SWF Projection" sheetId="3" state="visible" r:id="rId5"/>
    <sheet name="Self-Healing" sheetId="4" state="visible" r:id="rId6"/>
    <sheet name="Australia Benefit" sheetId="5" state="visible" r:id="rId7"/>
    <sheet name="Sensitivity" sheetId="6" state="visible" r:id="rId8"/>
    <sheet name="Unit Tests" sheetId="7" state="visible" r:id="rId9"/>
    <sheet name="Hydrogen Alliance" sheetId="8" state="visible" r:id="rId10"/>
    <sheet name="H2 Economics (AU)" sheetId="9" state="visible" r:id="rId11"/>
    <sheet name="Data Gaps Tracker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<sst xmlns="http://schemas.openxmlformats.org/spreadsheetml/2006/main" count="534" uniqueCount="447">
  <si>
    <t xml:space="preserve">SRD FRAMEWORK — PAPUA NEW GUINEA PILOT  |  ASSUMPTION CONTROL PANEL</t>
  </si>
  <si>
    <t xml:space="preserve">Blue = inputs you can change  |  Black = formulas  |  All values trace to documented sources</t>
  </si>
  <si>
    <t xml:space="preserve">BOND STRUCTURE</t>
  </si>
  <si>
    <t xml:space="preserve">Project Cost ($)</t>
  </si>
  <si>
    <t xml:space="preserve">Source: IRENA/World Bank renewable energy estimate for Papua New Guinea (modelled, population-scaled). Population: 10,000,000. GDP: $26.6B. NOTE: replace with official country roadmap.</t>
  </si>
  <si>
    <t xml:space="preserve">Bond Coupon Rate</t>
  </si>
  <si>
    <t xml:space="preserve">Source: AU 20yr bond + 50bps (2025) = 4.5% baseline. </t>
  </si>
  <si>
    <t xml:space="preserve">Bond Term (years)</t>
  </si>
  <si>
    <t xml:space="preserve">Source: Standard infrastructure finance term</t>
  </si>
  <si>
    <t xml:space="preserve">Gross Annual Savings ($)</t>
  </si>
  <si>
    <t xml:space="preserve">Source: Modelled — Papua New Guinea diesel generation 70% × estimated demand × $0.28/kWh. Replace with Ministry of Energy/national utility data.</t>
  </si>
  <si>
    <t xml:space="preserve">Savings Realisation Rate</t>
  </si>
  <si>
    <t xml:space="preserve">Source: Conservative vs IRENA 90–100% (IRENA/ESMAP)</t>
  </si>
  <si>
    <t xml:space="preserve">O&amp;M (% of project cost/yr)</t>
  </si>
  <si>
    <t xml:space="preserve">Source: Standard renewable energy O&amp;M benchmark</t>
  </si>
  <si>
    <t xml:space="preserve">CALCULATED BOND OUTPUTS</t>
  </si>
  <si>
    <t xml:space="preserve">Annual Debt Service ($)</t>
  </si>
  <si>
    <t xml:space="preserve">Net Annual Savings ($)</t>
  </si>
  <si>
    <t xml:space="preserve">Annual O&amp;M ($)</t>
  </si>
  <si>
    <t xml:space="preserve">Annual Net to SWF ($)</t>
  </si>
  <si>
    <t xml:space="preserve">20yr Total Savings ($)</t>
  </si>
  <si>
    <t xml:space="preserve">SOVEREIGN WEALTH FUND PARAMETERS</t>
  </si>
  <si>
    <t xml:space="preserve">SWF Nominal Return</t>
  </si>
  <si>
    <t xml:space="preserve">Source: Norway GPFG 30yr avg 6.2%; base conservative at 7%</t>
  </si>
  <si>
    <t xml:space="preserve">SWF Return Std Dev</t>
  </si>
  <si>
    <t xml:space="preserve">Source: Norway GPFG historical SD 8.4%</t>
  </si>
  <si>
    <t xml:space="preserve">Gold Allocation</t>
  </si>
  <si>
    <t xml:space="preserve">Source: Monte Carlo optimal allocation (SRD doc)</t>
  </si>
  <si>
    <t xml:space="preserve">Gold Return</t>
  </si>
  <si>
    <t xml:space="preserve">Source: World Gold Council long-run average</t>
  </si>
  <si>
    <t xml:space="preserve">Gold Return Std Dev</t>
  </si>
  <si>
    <t xml:space="preserve">Source: World Gold Council historical SD</t>
  </si>
  <si>
    <t xml:space="preserve">SWF Horizon (years)</t>
  </si>
  <si>
    <t xml:space="preserve">Source: SRD 25-year projection baseline</t>
  </si>
  <si>
    <t xml:space="preserve">Blended SWF Return</t>
  </si>
  <si>
    <t xml:space="preserve">(1-gold_alloc)×equity_return + gold_alloc×gold_return</t>
  </si>
  <si>
    <t xml:space="preserve">SELF-HEALING FORMULA PARAMETERS</t>
  </si>
  <si>
    <t xml:space="preserve">Capital Gap ($)</t>
  </si>
  <si>
    <t xml:space="preserve">Scaled to Papua New Guinea project cost (~20% of project cost)</t>
  </si>
  <si>
    <t xml:space="preserve">Year 1 Excess (E₁) ($)</t>
  </si>
  <si>
    <t xml:space="preserve">Source: First-year excess above debt service (SRD doc p.4)</t>
  </si>
  <si>
    <t xml:space="preserve">Annual Growth Rate (g)</t>
  </si>
  <si>
    <t xml:space="preserve">Source: SWF contribution annual growth rate</t>
  </si>
  <si>
    <t xml:space="preserve">Time to Self-Complete (T, years)</t>
  </si>
  <si>
    <t xml:space="preserve">T = ln(1+Gap×g/E₁)/ln(1+g) | SRD doc target: 8.3 years</t>
  </si>
  <si>
    <t xml:space="preserve">AUSTRALIA GUARANTEE STRUCTURE</t>
  </si>
  <si>
    <t xml:space="preserve">Guarantee % of Bond</t>
  </si>
  <si>
    <t xml:space="preserve">Source: SRD proposed structure (5% = $92M exposure)</t>
  </si>
  <si>
    <t xml:space="preserve">Annual Guarantee Fee Rate</t>
  </si>
  <si>
    <t xml:space="preserve">Source: SRD proposed 2.5% fee p.a. on outstanding bond value (not guarantee exposure). 2.5% × $1.48B = $37M/yr → $740M over 20 years.</t>
  </si>
  <si>
    <t xml:space="preserve">Default Probability</t>
  </si>
  <si>
    <t xml:space="preserve">Source: 50× MIGA actual (&lt;0.04%); extremely conservative</t>
  </si>
  <si>
    <t xml:space="preserve">Loss Given Default (LGD)</t>
  </si>
  <si>
    <t xml:space="preserve">Source: Standard MDB recovery assumption (50%)</t>
  </si>
  <si>
    <t xml:space="preserve">Trade/Strategic Multiplier</t>
  </si>
  <si>
    <t xml:space="preserve">CALIBRATED ASSUMPTION — 45% of project cost. Above baseline (0.38). Rationale: Hydro potential significant; rural diesel dependence high. LNG exports — strategic AU partner. Trade mult above baseline. Distance to AU: 1,600 km. TODO: replace with bilateral trade data.</t>
  </si>
  <si>
    <t xml:space="preserve">Bond Value (debt-financed portion) ($)</t>
  </si>
  <si>
    <t xml:space="preserve">Project cost $4.50B minus local equity $0.90B (~20% local contribution).</t>
  </si>
  <si>
    <t xml:space="preserve">AUSTRALIA CALCULATED OUTCOMES</t>
  </si>
  <si>
    <t xml:space="preserve">Guarantee Exposure ($)</t>
  </si>
  <si>
    <t xml:space="preserve">Calculated: 5pct of project cost = $92M. Australia max contingent liability if default. Fee base is Bond Value (B39), not this exposure.</t>
  </si>
  <si>
    <t xml:space="preserve">Annual Fee Income ($)</t>
  </si>
  <si>
    <t xml:space="preserve">Total Fee Income ($)</t>
  </si>
  <si>
    <t xml:space="preserve">Expected Default Loss ($)</t>
  </si>
  <si>
    <t xml:space="preserve">Direct Net Benefit ($)</t>
  </si>
  <si>
    <t xml:space="preserve">← SRD document target: $716M (direct net benefit only = fees − expected loss)</t>
  </si>
  <si>
    <t xml:space="preserve">Strategic Value ($)</t>
  </si>
  <si>
    <t xml:space="preserve">CALIBRATED ASSUMPTION — see caveat in B38. Not directly evidenced for Barbados.</t>
  </si>
  <si>
    <t xml:space="preserve">TOTAL AUSTRALIA NET BENEFIT ($)</t>
  </si>
  <si>
    <t xml:space="preserve">Calculated: Direct Net Benefit + Strategic Value. SRD document target of $716M refers to Direct Net Benefit only (row 45). Total here is approx $1.44B. Strategic value (38% of project cost, row 46) is a calibrated assumption — see caveat in B38.</t>
  </si>
  <si>
    <t xml:space="preserve">SRD model for Papua New Guinea | Region: Pacific | Status: Full Member | Pop: 10,000,000 | GDP: $26.6B | All figures modelled estimates — not project-specific | Seed: 7801909 | SRD Framework v3</t>
  </si>
  <si>
    <t xml:space="preserve">BOND CASHFLOW &amp; AMORTISATION SCHEDULE — BARBADOS PILOT</t>
  </si>
  <si>
    <t xml:space="preserve">All formulas link to Assumptions sheet. Change any blue input there to recalculate.</t>
  </si>
  <si>
    <t xml:space="preserve">Year</t>
  </si>
  <si>
    <t xml:space="preserve">Debt Service</t>
  </si>
  <si>
    <t xml:space="preserve">Interest</t>
  </si>
  <si>
    <t xml:space="preserve">Principal
Repaid</t>
  </si>
  <si>
    <t xml:space="preserve">Bond
Balance</t>
  </si>
  <si>
    <t xml:space="preserve">Gross Savings</t>
  </si>
  <si>
    <t xml:space="preserve">O&amp;M Cost</t>
  </si>
  <si>
    <t xml:space="preserve">Net → SWF</t>
  </si>
  <si>
    <t xml:space="preserve">Cumulative
Savings</t>
  </si>
  <si>
    <t xml:space="preserve">TOTAL</t>
  </si>
  <si>
    <t xml:space="preserve">—</t>
  </si>
  <si>
    <t xml:space="preserve">SOVEREIGN WEALTH FUND — 25-YEAR GROWTH PROJECTION</t>
  </si>
  <si>
    <t xml:space="preserve">Norway GPFG validation | Timor-Leste PF | Botswana Pula Fund | All formulas link to Assumptions</t>
  </si>
  <si>
    <t xml:space="preserve">Annual
Contribution</t>
  </si>
  <si>
    <t xml:space="preserve">SWF Balance</t>
  </si>
  <si>
    <t xml:space="preserve">Growth
Return</t>
  </si>
  <si>
    <t xml:space="preserve">SWF as × GDP</t>
  </si>
  <si>
    <t xml:space="preserve">VALIDATION BENCHMARKS</t>
  </si>
  <si>
    <t xml:space="preserve">Norway GPFG (2025)</t>
  </si>
  <si>
    <t xml:space="preserve">$1.9T (15.1% return in 2025)</t>
  </si>
  <si>
    <t xml:space="preserve">Source: NBIM Annual Report 2025</t>
  </si>
  <si>
    <t xml:space="preserve">Norway GPFG 30yr avg return</t>
  </si>
  <si>
    <t xml:space="preserve">~6.2% nominal</t>
  </si>
  <si>
    <t xml:space="preserve">Source: NBIM historical data</t>
  </si>
  <si>
    <t xml:space="preserve">Timor-Leste Petroleum Fund peak</t>
  </si>
  <si>
    <t xml:space="preserve">$18.9B (10.5× GDP)</t>
  </si>
  <si>
    <t xml:space="preserve">Source: Ministry of Finance Timor-Leste</t>
  </si>
  <si>
    <t xml:space="preserve">Timor-Leste with SRD rules (simulated)</t>
  </si>
  <si>
    <t xml:space="preserve">$38B</t>
  </si>
  <si>
    <t xml:space="preserve">Source: SRD doc backtest simulation</t>
  </si>
  <si>
    <t xml:space="preserve">Botswana Pula Fund peak → current</t>
  </si>
  <si>
    <t xml:space="preserve">$7B → $3.5B (-50%)</t>
  </si>
  <si>
    <t xml:space="preserve">Source: Bank of Botswana</t>
  </si>
  <si>
    <t xml:space="preserve">Botswana with SRD governance (simulated)</t>
  </si>
  <si>
    <t xml:space="preserve">$12.3B (+252%)</t>
  </si>
  <si>
    <t xml:space="preserve">SELF-HEALING (SELF-COMPLETION) FORMULA — VERIFICATION</t>
  </si>
  <si>
    <t xml:space="preserve">Formula: T = ln(1 + Gap×g/E₁) / ln(1+g) | SRD document target: T = 8.3 years</t>
  </si>
  <si>
    <t xml:space="preserve">FORMULA INPUTS (from Assumptions sheet)</t>
  </si>
  <si>
    <t xml:space="preserve">Year 1 Excess E₁ ($)</t>
  </si>
  <si>
    <t xml:space="preserve">Annual Growth Rate g</t>
  </si>
  <si>
    <t xml:space="preserve">Time T (years) — calculated</t>
  </si>
  <si>
    <t xml:space="preserve">Formula derivation: geometric series sum = E₁×((1+g)^T-1)/g = Gap → solve for T</t>
  </si>
  <si>
    <t xml:space="preserve">Proof: if this equals 8.3 with Gap=$360M, E₁=$22M, g=18%, unit test passes</t>
  </si>
  <si>
    <t xml:space="preserve">Annual Excess</t>
  </si>
  <si>
    <t xml:space="preserve">Cumulative
Capital</t>
  </si>
  <si>
    <t xml:space="preserve">Remaining
Gap</t>
  </si>
  <si>
    <t xml:space="preserve">Healed?</t>
  </si>
  <si>
    <t xml:space="preserve">AUSTRALIA NET BENEFIT — GUARANTEE STRUCTURE ANALYSIS</t>
  </si>
  <si>
    <t xml:space="preserve">BASE CASE — BARBADOS PILOT ONLY</t>
  </si>
  <si>
    <t xml:space="preserve">5% × $1.84B = $92M  |  This is Australia's max contingent LIABILITY if Barbados defaults — separate from the fee base (bond value $1.48B)</t>
  </si>
  <si>
    <t xml:space="preserve">Annual Guarantee Fee ($)</t>
  </si>
  <si>
    <t xml:space="preserve">2.5% × Bond Value ($1.48B) = $37M/yr  |  NOT 2.5% × exposure</t>
  </si>
  <si>
    <t xml:space="preserve">Total Fee Income (20yr) ($)</t>
  </si>
  <si>
    <t xml:space="preserve">Annual fee × 20 years</t>
  </si>
  <si>
    <t xml:space="preserve">default_prob × LGD × exposure</t>
  </si>
  <si>
    <t xml:space="preserve">Total fees - expected loss</t>
  </si>
  <si>
    <t xml:space="preserve">Trade/diplomatic (38% of project cost)</t>
  </si>
  <si>
    <t xml:space="preserve">← SRD doc target: $716M</t>
  </si>
  <si>
    <t xml:space="preserve">Note: SRD document target of $716M = Direct Net Benefit only (fees − expected loss). Total above (~$1.44B) includes Strategic Value ($699M), which is a calibrated assumption — not directly evidenced for Barbados. See B38 caveat.</t>
  </si>
  <si>
    <t xml:space="preserve">PROGRAMME SCALE SCENARIOS</t>
  </si>
  <si>
    <t xml:space="preserve">Scenario</t>
  </si>
  <si>
    <t xml:space="preserve">Australia Net Benefit ($)</t>
  </si>
  <si>
    <t xml:space="preserve">Notes</t>
  </si>
  <si>
    <t xml:space="preserve">Barbados Only (1 SIDS)</t>
  </si>
  <si>
    <t xml:space="preserve">Pilot programme</t>
  </si>
  <si>
    <t xml:space="preserve">Conservative 30% Scale (8 SIDS)</t>
  </si>
  <si>
    <t xml:space="preserve">SRD doc conservative scenario</t>
  </si>
  <si>
    <t xml:space="preserve">Full Pacific Programme (20 SIDS)</t>
  </si>
  <si>
    <t xml:space="preserve">All Pacific SIDS</t>
  </si>
  <si>
    <t xml:space="preserve">Full 28-SIDS Programme</t>
  </si>
  <si>
    <t xml:space="preserve">SRD doc full programme</t>
  </si>
  <si>
    <t xml:space="preserve">MIGA VALIDATION — DEFAULT RATE CONSERVATISM</t>
  </si>
  <si>
    <t xml:space="preserve">MIGA years operating</t>
  </si>
  <si>
    <t xml:space="preserve">35+</t>
  </si>
  <si>
    <t xml:space="preserve">Source: MIGA Annual Reports</t>
  </si>
  <si>
    <t xml:space="preserve">Total guarantees issued ($B)</t>
  </si>
  <si>
    <t xml:space="preserve">28+</t>
  </si>
  <si>
    <t xml:space="preserve">Source: MIGA Financial Statements</t>
  </si>
  <si>
    <t xml:space="preserve">Total claims paid (lifetime)</t>
  </si>
  <si>
    <t xml:space="preserve">11</t>
  </si>
  <si>
    <t xml:space="preserve">MIGA actual claim rate</t>
  </si>
  <si>
    <t xml:space="preserve">&lt;0.04%</t>
  </si>
  <si>
    <t xml:space="preserve">Source: Calculated from above</t>
  </si>
  <si>
    <t xml:space="preserve">SRD assumed default probability</t>
  </si>
  <si>
    <t xml:space="preserve">50× MIGA actual — extremely conservative</t>
  </si>
  <si>
    <t xml:space="preserve">SRD conservative factor (×MIGA)</t>
  </si>
  <si>
    <t xml:space="preserve">0.0x</t>
  </si>
  <si>
    <t xml:space="preserve">Break-even default rate</t>
  </si>
  <si>
    <t xml:space="preserve">0.0%</t>
  </si>
  <si>
    <t xml:space="preserve">SENSITIVITY ANALYSIS — IMPACT OF ±20% PARAMETER CHANGES</t>
  </si>
  <si>
    <t xml:space="preserve">Parameter</t>
  </si>
  <si>
    <t xml:space="preserve">Base Value</t>
  </si>
  <si>
    <t xml:space="preserve">−20% Impact
(Aus Net $M)</t>
  </si>
  <si>
    <t xml:space="preserve">+20% Impact
(Aus Net $M)</t>
  </si>
  <si>
    <t xml:space="preserve">Swing
($M)</t>
  </si>
  <si>
    <t xml:space="preserve">Key Insight</t>
  </si>
  <si>
    <t xml:space="preserve">Negative if savings-driven</t>
  </si>
  <si>
    <t xml:space="preserve">Positive if savings-driven</t>
  </si>
  <si>
    <t xml:space="preserve">See Python/R for exact $M</t>
  </si>
  <si>
    <t xml:space="preserve">Strongest driver of SWF size</t>
  </si>
  <si>
    <t xml:space="preserve">Diesel Price (via savings)</t>
  </si>
  <si>
    <t xml:space="preserve">Break-even: $0.21/kWh (vs base $0.35)</t>
  </si>
  <si>
    <t xml:space="preserve">Break-even: 8.7% (vs base 2.0%)</t>
  </si>
  <si>
    <t xml:space="preserve">SWF Return</t>
  </si>
  <si>
    <t xml:space="preserve">4% still yields positive SWF at year 25</t>
  </si>
  <si>
    <t xml:space="preserve">Bond Coupon</t>
  </si>
  <si>
    <t xml:space="preserve">Higher coupon → less net to SWF</t>
  </si>
  <si>
    <t xml:space="preserve">15% optimal from Monte Carlo</t>
  </si>
  <si>
    <t xml:space="preserve">Guarantee Fee Rate</t>
  </si>
  <si>
    <t xml:space="preserve">Direct revenue to Australia</t>
  </si>
  <si>
    <t xml:space="preserve">LGD</t>
  </si>
  <si>
    <t xml:space="preserve">Higher LGD → more expected loss</t>
  </si>
  <si>
    <t xml:space="preserve">THRESHOLD ANALYSIS</t>
  </si>
  <si>
    <t xml:space="preserve">Australia net positive if default rate &lt;</t>
  </si>
  <si>
    <t xml:space="preserve">8.7%</t>
  </si>
  <si>
    <t xml:space="preserve">Base: 2.0% | 4.4× headroom</t>
  </si>
  <si>
    <t xml:space="preserve">Australia net positive if diesel price &gt;</t>
  </si>
  <si>
    <t xml:space="preserve">$0.21/kWh</t>
  </si>
  <si>
    <t xml:space="preserve">Base: $0.35/kWh | 40% buffer</t>
  </si>
  <si>
    <t xml:space="preserve">SWF positive if savings realisation &gt;</t>
  </si>
  <si>
    <t xml:space="preserve">52%</t>
  </si>
  <si>
    <t xml:space="preserve">Base: 85% | 33pp buffer</t>
  </si>
  <si>
    <t xml:space="preserve">Minimum SWF return for self-healing</t>
  </si>
  <si>
    <t xml:space="preserve">&gt;0%</t>
  </si>
  <si>
    <t xml:space="preserve">Any positive return completes capital</t>
  </si>
  <si>
    <t xml:space="preserve">UNIT TESTS — EVERY FORMULA VERIFIED AGAINST KNOWN VALUES</t>
  </si>
  <si>
    <t xml:space="preserve">All tests should show PASS ✓  |  If any show FAIL, review Assumptions inputs</t>
  </si>
  <si>
    <t xml:space="preserve">Test Description</t>
  </si>
  <si>
    <t xml:space="preserve">Expected Value</t>
  </si>
  <si>
    <t xml:space="preserve">Actual (Formula)</t>
  </si>
  <si>
    <t xml:space="preserve">Pass/Fail</t>
  </si>
  <si>
    <t xml:space="preserve">Bond PMT: calc_pmt($1.84B, 4.5%, 20yr)</t>
  </si>
  <si>
    <t xml:space="preserve">Standard PMT formula; tolerance ±2%</t>
  </si>
  <si>
    <t xml:space="preserve">Self-healing T: Gap=$360M, E₁=$22M, g=18%</t>
  </si>
  <si>
    <t xml:space="preserve">SRD doc p.4 target: T=8.3 years; tolerance ±5%</t>
  </si>
  <si>
    <t xml:space="preserve">Blended SWF return: (1-15%)×7% + 15%×5%</t>
  </si>
  <si>
    <t xml:space="preserve">Blended = 85%×7% + 15%×5% = 8.2%; tolerance ±0.1pp</t>
  </si>
  <si>
    <t xml:space="preserve">Guarantee exposure: 5% × $1.84B</t>
  </si>
  <si>
    <t xml:space="preserve">Should be exactly $92M</t>
  </si>
  <si>
    <t xml:space="preserve">Australia net benefit vs $716M target</t>
  </si>
  <si>
    <t xml:space="preserve">Within ±15% of $716M SRD doc target</t>
  </si>
  <si>
    <t xml:space="preserve">Annual debt service from amortisation table</t>
  </si>
  <si>
    <t xml:space="preserve">Bond cashflow table must match PMT formula</t>
  </si>
  <si>
    <t xml:space="preserve">HYDROGEN ALLIANCE — PAPUA NEW GUINEA | H₂ Potential: ~25085 t/yr | Distance to AU: 1,600 km | Delivered cost: $4.22/kg</t>
  </si>
  <si>
    <t xml:space="preserve">All figures modelled from resource databases. Pending: Pacific H₂ Strategy Report C (DCCEEW/UNSW ~2026); CCREEE per-country IRP data. H₂ potential = excessMW × 8760h × 35% CF ÷ 55 kWh/kg ÷ 1000 | Sources: World Bank ESMAP; Global Wind Atlas; IRENA (2024)</t>
  </si>
  <si>
    <t xml:space="preserve">H₂ PRODUCTION MODEL PARAMETERS</t>
  </si>
  <si>
    <t xml:space="preserve">System efficiency (kWh/kg H₂)</t>
  </si>
  <si>
    <t xml:space="preserve">Source: IRENA Green Hydrogen Cost Reduction (2020); IEA Hydrogen Roadmap (2023)</t>
  </si>
  <si>
    <t xml:space="preserve">Blended capacity factor (CF)</t>
  </si>
  <si>
    <t xml:space="preserve">H₂ production cost ($/kg gate)</t>
  </si>
  <si>
    <t xml:space="preserve">AU 2030 delivered price target ($/kg)</t>
  </si>
  <si>
    <t xml:space="preserve">Shipping fixed cost ($/kg)</t>
  </si>
  <si>
    <t xml:space="preserve">Shipping variable cost ($/kg/km)</t>
  </si>
  <si>
    <t xml:space="preserve">GEOGRAPHIC NOTE — CARICOM MARKET ROUTING</t>
  </si>
  <si>
    <t xml:space="preserve">CARICOM → Australia sea distance</t>
  </si>
  <si>
    <t xml:space="preserve">15,800–17,800 km</t>
  </si>
  <si>
    <t xml:space="preserve">Delivered H₂ cost to AU (CARICOM)</t>
  </si>
  <si>
    <t xml:space="preserve">~$6.50–7.50/kg  ← above AU $5/kg target</t>
  </si>
  <si>
    <t xml:space="preserve">CARICOM primary H₂ market</t>
  </si>
  <si>
    <t xml:space="preserve">US Gulf Coast (~3–5K km) or EU Rotterdam (~8–9K km)</t>
  </si>
  <si>
    <t xml:space="preserve">Pacific → Australia distance</t>
  </si>
  <si>
    <t xml:space="preserve">1,400–5,200 km  ← competitive at ≤$5/kg delivered</t>
  </si>
  <si>
    <t xml:space="preserve">AU competitive threshold</t>
  </si>
  <si>
    <t xml:space="preserve">≤$5.00/kg delivered (AU Hydrogen Strategy)</t>
  </si>
  <si>
    <t xml:space="preserve">NATION-BY-NATION HYDROGEN READINESS  (★ = SRD Pilot)</t>
  </si>
  <si>
    <t xml:space="preserve">Nation</t>
  </si>
  <si>
    <t xml:space="preserve">Region</t>
  </si>
  <si>
    <t xml:space="preserve">Excess RE
(MW)</t>
  </si>
  <si>
    <t xml:space="preserve">Solar GHI
(kWh/m²/d)</t>
  </si>
  <si>
    <t xml:space="preserve">Wind CF</t>
  </si>
  <si>
    <t xml:space="preserve">Diesel %</t>
  </si>
  <si>
    <t xml:space="preserve">H₂ Potential
(t/yr)</t>
  </si>
  <si>
    <t xml:space="preserve">Dist AU
(km)</t>
  </si>
  <si>
    <t xml:space="preserve">Delivered
($/kg)</t>
  </si>
  <si>
    <t xml:space="preserve">AU Market?</t>
  </si>
  <si>
    <t xml:space="preserve">PNG</t>
  </si>
  <si>
    <t xml:space="preserve">Pacific</t>
  </si>
  <si>
    <t xml:space="preserve">Timor-Leste</t>
  </si>
  <si>
    <t xml:space="preserve">Fiji</t>
  </si>
  <si>
    <t xml:space="preserve">Solomon Islands</t>
  </si>
  <si>
    <t xml:space="preserve">Vanuatu</t>
  </si>
  <si>
    <t xml:space="preserve">Samoa</t>
  </si>
  <si>
    <t xml:space="preserve">Tonga</t>
  </si>
  <si>
    <t xml:space="preserve">Kiribati</t>
  </si>
  <si>
    <t xml:space="preserve">FSM</t>
  </si>
  <si>
    <t xml:space="preserve">Marshall Islands</t>
  </si>
  <si>
    <t xml:space="preserve">Palau</t>
  </si>
  <si>
    <t xml:space="preserve">Cook Islands</t>
  </si>
  <si>
    <t xml:space="preserve">Nauru</t>
  </si>
  <si>
    <t xml:space="preserve">Tuvalu</t>
  </si>
  <si>
    <t xml:space="preserve">Niue</t>
  </si>
  <si>
    <t xml:space="preserve">Trinidad &amp; Tobago</t>
  </si>
  <si>
    <t xml:space="preserve">CARICOM</t>
  </si>
  <si>
    <t xml:space="preserve">Jamaica</t>
  </si>
  <si>
    <t xml:space="preserve">Guyana</t>
  </si>
  <si>
    <t xml:space="preserve">Suriname</t>
  </si>
  <si>
    <t xml:space="preserve">Haiti</t>
  </si>
  <si>
    <t xml:space="preserve">Bahamas</t>
  </si>
  <si>
    <t xml:space="preserve">Belize</t>
  </si>
  <si>
    <t xml:space="preserve">St Lucia</t>
  </si>
  <si>
    <t xml:space="preserve">Antigua &amp; Barbuda</t>
  </si>
  <si>
    <t xml:space="preserve">Grenada</t>
  </si>
  <si>
    <t xml:space="preserve">St Vincent</t>
  </si>
  <si>
    <t xml:space="preserve">Dominica</t>
  </si>
  <si>
    <t xml:space="preserve">St Kitts &amp; Nevis</t>
  </si>
  <si>
    <t xml:space="preserve">★ Barbados</t>
  </si>
  <si>
    <t xml:space="preserve">Montserrat</t>
  </si>
  <si>
    <t xml:space="preserve">US/EU</t>
  </si>
  <si>
    <t xml:space="preserve">TOTAL — All Nations</t>
  </si>
  <si>
    <t xml:space="preserve">30 nations</t>
  </si>
  <si>
    <t xml:space="preserve">  Pacific only (15 nations)</t>
  </si>
  <si>
    <t xml:space="preserve"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</si>
  <si>
    <t xml:space="preserve">GREEN HYDROGEN → AUSTRALIAN GREEN IRON  |  ECONOMICS &amp; MULTIPLIERS</t>
  </si>
  <si>
    <t xml:space="preserve">Phase 1: SRD funds energy sovereignty. Phase 2 (post-2031): Excess RE → H₂ export → AU green iron → Asian steel. ⚠ Green iron H₂ DRI is unproven at commercial scale. Model as contingent on AU industry scaling.</t>
  </si>
  <si>
    <t xml:space="preserve">PHASE 2 — H₂ IMPORT PARAMETERS (from document sources)</t>
  </si>
  <si>
    <t xml:space="preserve">Green Iron Target — single plant (Mtpa)</t>
  </si>
  <si>
    <t xml:space="preserve">Source: Minerals Institute WA (single 4.8 Mtpa plant)</t>
  </si>
  <si>
    <t xml:space="preserve">H₂ intensity (kg H₂ per tonne DRI)</t>
  </si>
  <si>
    <t xml:space="preserve">Source: Industry average; range 50–60 kg/t (technical literature)</t>
  </si>
  <si>
    <t xml:space="preserve">Total H₂ required — single plant (t/yr)</t>
  </si>
  <si>
    <t xml:space="preserve">green iron target × H₂ intensity × 1000 kg/t</t>
  </si>
  <si>
    <t xml:space="preserve">SIDS market share of AU H₂ demand</t>
  </si>
  <si>
    <t xml:space="preserve">Assumption: 20% conservative. See sensitivity in row 15.</t>
  </si>
  <si>
    <t xml:space="preserve">SIDS H₂ export to AU — single plant (t/yr)</t>
  </si>
  <si>
    <t xml:space="preserve">SIDS supply if 20% of single plant H₂ demand</t>
  </si>
  <si>
    <t xml:space="preserve">H₂ gate price ($/kg)</t>
  </si>
  <si>
    <t xml:space="preserve">Source: CSIRO/ARENA 2025-2030 target; see Hydrogen Alliance sheet</t>
  </si>
  <si>
    <t xml:space="preserve">Annual H₂ export revenue — SIDS ($)</t>
  </si>
  <si>
    <t xml:space="preserve">t/yr × 1000 kg/t × $/kg</t>
  </si>
  <si>
    <t xml:space="preserve">SIDS MARKET SHARE SENSITIVITY  (% of single plant H₂ demand)</t>
  </si>
  <si>
    <t xml:space="preserve">SIDS Market Share</t>
  </si>
  <si>
    <t xml:space="preserve">H₂ Export (t/yr)</t>
  </si>
  <si>
    <t xml:space="preserve">Annual Revenue ($)</t>
  </si>
  <si>
    <t xml:space="preserve">Highlighted row = base case (20%). Source: Assumption pending offtake agreements.</t>
  </si>
  <si>
    <t xml:space="preserve">SIDS SWF RECIPROCAL INVESTMENT IN AU GREEN IRON</t>
  </si>
  <si>
    <t xml:space="preserve">SIDS SWF Year 25 (from SWF Projection sheet)</t>
  </si>
  <si>
    <t xml:space="preserve">Links to SWF Projection sheet C28</t>
  </si>
  <si>
    <t xml:space="preserve">Reciprocal investment rate</t>
  </si>
  <si>
    <t xml:space="preserve">7.5% of SWF to Australian assets (SRD doc)</t>
  </si>
  <si>
    <t xml:space="preserve">Total reciprocal investment ($)</t>
  </si>
  <si>
    <t xml:space="preserve">SWF × 7.5%</t>
  </si>
  <si>
    <t xml:space="preserve">Allocation to green iron processing</t>
  </si>
  <si>
    <t xml:space="preserve">60% of reciprocal to green iron</t>
  </si>
  <si>
    <t xml:space="preserve">Investment in processing capacity ($)</t>
  </si>
  <si>
    <t xml:space="preserve">reciprocal × 60%</t>
  </si>
  <si>
    <t xml:space="preserve">Estimated plant capex ($)</t>
  </si>
  <si>
    <t xml:space="preserve">Rough estimate; range $3–8B. Pending confirmed DRI projects.</t>
  </si>
  <si>
    <t xml:space="preserve">Equity stake in 4.8Mtpa plant</t>
  </si>
  <si>
    <t xml:space="preserve">≈ Processing investment ÷ plant capex</t>
  </si>
  <si>
    <t xml:space="preserve">Indirect jobs (proportional to stake)</t>
  </si>
  <si>
    <t xml:space="preserve">Source: Minerals Institute WA (1,540 FTE per plant × equity %)</t>
  </si>
  <si>
    <t xml:space="preserve">⚠ Plant capex ($5B) is a rough estimate. Real DRI plants vary $3–8B depending on scale, technology (shaft furnace vs flash calciner), and location. Update when DRI projects confirmed.</t>
  </si>
  <si>
    <t xml:space="preserve">ECONOMIC MULTIPLIERS — PER 4.8 Mtpa GREEN IRON PLANT</t>
  </si>
  <si>
    <t xml:space="preserve">Metric</t>
  </si>
  <si>
    <t xml:space="preserve">Value</t>
  </si>
  <si>
    <t xml:space="preserve">Source</t>
  </si>
  <si>
    <t xml:space="preserve">GDP contribution (cumulative)</t>
  </si>
  <si>
    <t xml:space="preserve">$85B</t>
  </si>
  <si>
    <t xml:space="preserve">Minerals Institute of WA (2024)</t>
  </si>
  <si>
    <t xml:space="preserve">Annual real income added</t>
  </si>
  <si>
    <t xml:space="preserve">$2.4B/yr</t>
  </si>
  <si>
    <t xml:space="preserve">Full-time jobs created</t>
  </si>
  <si>
    <t xml:space="preserve">1,540 FTE</t>
  </si>
  <si>
    <t xml:space="preserve">Green iron export revenue</t>
  </si>
  <si>
    <t xml:space="preserve">$12–15B/yr</t>
  </si>
  <si>
    <t xml:space="preserve">Accenture / estimated</t>
  </si>
  <si>
    <t xml:space="preserve">State tax revenue (annual)</t>
  </si>
  <si>
    <t xml:space="preserve">~$1.2B</t>
  </si>
  <si>
    <t xml:space="preserve">Estimated</t>
  </si>
  <si>
    <t xml:space="preserve">Industry export total by 2040</t>
  </si>
  <si>
    <t xml:space="preserve">$122B</t>
  </si>
  <si>
    <t xml:space="preserve">Accenture Report (green metals industry)</t>
  </si>
  <si>
    <t xml:space="preserve">Annual range — full industry</t>
  </si>
  <si>
    <t xml:space="preserve">$96–295B/yr</t>
  </si>
  <si>
    <t xml:space="preserve">Deloitte / WWF-Australia Report</t>
  </si>
  <si>
    <t xml:space="preserve">AU Government Green Iron Fund</t>
  </si>
  <si>
    <t xml:space="preserve">$1B committed</t>
  </si>
  <si>
    <t xml:space="preserve">Dept of Industry, Science &amp; Resources</t>
  </si>
  <si>
    <t xml:space="preserve">Calix ZESTY demonstration</t>
  </si>
  <si>
    <t xml:space="preserve">$44.9M ARENA grant; 30,000 t/yr demo underway</t>
  </si>
  <si>
    <t xml:space="preserve">ARENA 2024</t>
  </si>
  <si>
    <t xml:space="preserve">Carbon price needed (Rio Tinto CTO)</t>
  </si>
  <si>
    <t xml:space="preserve">~$200/t  ← policy gap</t>
  </si>
  <si>
    <t xml:space="preserve">Rio Tinto CTO, 2024 (risk)</t>
  </si>
  <si>
    <t xml:space="preserve">HONEST RISK ASSESSMENT (per IEEFA + Rio Tinto analysis)</t>
  </si>
  <si>
    <t xml:space="preserve">Risk / Barrier</t>
  </si>
  <si>
    <t xml:space="preserve">Category</t>
  </si>
  <si>
    <t xml:space="preserve">Context/Mitigation</t>
  </si>
  <si>
    <t xml:space="preserve">H₂ DRI unproven at commercial scale</t>
  </si>
  <si>
    <t xml:space="preserve">Technology risk</t>
  </si>
  <si>
    <t xml:space="preserve">Calix ZESTY 30Kt/yr demo is largest current proof-of-concept</t>
  </si>
  <si>
    <t xml:space="preserve">AU construction costs high vs competitors</t>
  </si>
  <si>
    <t xml:space="preserve">Economic risk</t>
  </si>
  <si>
    <t xml:space="preserve">IEEFA: acknowledged; location premium real</t>
  </si>
  <si>
    <t xml:space="preserve">AU iron ore is low-grade (higher processing)</t>
  </si>
  <si>
    <t xml:space="preserve">Technical risk</t>
  </si>
  <si>
    <t xml:space="preserve">Additional beneficiation needed vs premium ores</t>
  </si>
  <si>
    <t xml:space="preserve">Carbon price ~$200/t needed (not current)</t>
  </si>
  <si>
    <t xml:space="preserve">Policy gap</t>
  </si>
  <si>
    <t xml:space="preserve">No AU carbon price at this level currently</t>
  </si>
  <si>
    <t xml:space="preserve">Middle East cheaper on gas DRI short-term</t>
  </si>
  <si>
    <t xml:space="preserve">Competitive risk</t>
  </si>
  <si>
    <t xml:space="preserve">IEEFA: AU must leapfrog to H₂ as only viable long-run path</t>
  </si>
  <si>
    <t xml:space="preserve">AU cannot produce H₂ at scale domestically</t>
  </si>
  <si>
    <t xml:space="preserve">Supply gap → SIDS opportunity</t>
  </si>
  <si>
    <t xml:space="preserve">IEEFA: SIDS imports not optional—essential to scaling</t>
  </si>
  <si>
    <t xml:space="preserve"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</si>
  <si>
    <t xml:space="preserve">H₂ PRICE SCENARIOS — IMPACT ON AU MARKET VIABILITY</t>
  </si>
  <si>
    <t xml:space="preserve">Gate $/kg</t>
  </si>
  <si>
    <t xml:space="preserve">2025</t>
  </si>
  <si>
    <t xml:space="preserve">Current — all Pacific nations AU-viable (max dist 5,200 km → $4.94/kg delivered)</t>
  </si>
  <si>
    <t xml:space="preserve">2030</t>
  </si>
  <si>
    <t xml:space="preserve">Mid-term — Pacific viable H₂ grows as lower prices attract more electrolyzer investment</t>
  </si>
  <si>
    <t xml:space="preserve">2035</t>
  </si>
  <si>
    <t xml:space="preserve">IRENA green hydrogen target — CARICOM → US Gulf Coast becomes competitive (~$4.50/kg)</t>
  </si>
  <si>
    <t xml:space="preserve">KEY INSIGHT — WHY PACIFIC NATIONS DOMINATE AU SUPPLY</t>
  </si>
  <si>
    <t xml:space="preserve">• Pacific proximity (1,400–5,200 km) is the decisive factor — shipping cost only $0.68–1.44/kg vs CARICOM $3.60–4.00/kg</t>
  </si>
  <si>
    <t xml:space="preserve">• All 15 Pacific nations are AU-competitive at 2025 prices ($3.50 gate + shipping ≤ $5/kg)</t>
  </si>
  <si>
    <t xml:space="preserve">• CARICOM nations (15,800–17,800 km) will never be AU-competitive — their market is US Gulf / EU</t>
  </si>
  <si>
    <t xml:space="preserve">• Price reduction scenarios: Pacific supply grows through investment attraction, not AU threshold shifts</t>
  </si>
  <si>
    <t xml:space="preserve">• A single 4.8 Mtpa plant needs 264,000 t H₂/yr — total Pacific potential (~49,000 t/yr) supplies ~19% of one plant</t>
  </si>
  <si>
    <t xml:space="preserve">• Full AU green iron industry at scale would require all Pacific SIDS + new hydrogen exporters (e.g. Indonesia, India)</t>
  </si>
  <si>
    <t xml:space="preserve">DATA GAPS TRACKER — HYDROGEN ALLIANCE MODULE</t>
  </si>
  <si>
    <t xml:space="preserve">Track open data gaps. When a source becomes available, update Hydrogen Alliance and H2 Economics sheets. Priority = critical for model defensibility.</t>
  </si>
  <si>
    <t xml:space="preserve">OPEN DATA GAPS</t>
  </si>
  <si>
    <t xml:space="preserve">Data Gap</t>
  </si>
  <si>
    <t xml:space="preserve">Priority</t>
  </si>
  <si>
    <t xml:space="preserve">Source / Contact</t>
  </si>
  <si>
    <t xml:space="preserve">Expected Date</t>
  </si>
  <si>
    <t xml:space="preserve">Repo Path</t>
  </si>
  <si>
    <t xml:space="preserve">Pacific H₂ Strategy Report C (per-country resource maps, land availability, production cost estimates)</t>
  </si>
  <si>
    <t xml:space="preserve">CRITICAL</t>
  </si>
  <si>
    <t xml:space="preserve">DCCEEW/UNSW Sydney – Pacific H₂ Strategy</t>
  </si>
  <si>
    <t xml:space="preserve">Late 2026</t>
  </si>
  <si>
    <t xml:space="preserve">data/raw/pacific_hydrogen_strategy/report_c/</t>
  </si>
  <si>
    <t xml:space="preserve">CCREEE Integrated Resource Plans — all 25 CARICOM nations (25-yr power sector plans)</t>
  </si>
  <si>
    <t xml:space="preserve">CCREEE – Dr Devon Gardner (Head of Technical Programs)</t>
  </si>
  <si>
    <t xml:space="preserve">End 2024 (8 done; 25 planned)</t>
  </si>
  <si>
    <t xml:space="preserve">data/raw/caricom_ccreee/integrated_resource_plans/</t>
  </si>
  <si>
    <t xml:space="preserve">Australian green iron H₂ demand trajectory (confirmed DRI plant pipeline)</t>
  </si>
  <si>
    <t xml:space="preserve">HIGH</t>
  </si>
  <si>
    <t xml:space="preserve">ARENA; Dept Industry Science &amp; Resources; state govts (WA, SA, Qld)</t>
  </si>
  <si>
    <t xml:space="preserve">When announced</t>
  </si>
  <si>
    <t xml:space="preserve">data/raw/australia_green_iron/demand_trajectory/</t>
  </si>
  <si>
    <t xml:space="preserve">Calix ZESTY full techno-economic data (post-demonstration)</t>
  </si>
  <si>
    <t xml:space="preserve">ARENA (calix_zesty grant)</t>
  </si>
  <si>
    <t xml:space="preserve">Post-demo (~2027)</t>
  </si>
  <si>
    <t xml:space="preserve">data/raw/australia_green_iron/arena_calix_zesty/</t>
  </si>
  <si>
    <t xml:space="preserve">H₂ offtake agreements SIDS → Australia (when signed)</t>
  </si>
  <si>
    <t xml:space="preserve">ARENA / DISR</t>
  </si>
  <si>
    <t xml:space="preserve">TBD</t>
  </si>
  <si>
    <t xml:space="preserve">data/raw/offtake_agreements/</t>
  </si>
  <si>
    <t xml:space="preserve">Trinidad CertHiLAC certification data (clean H₂ certification system)</t>
  </si>
  <si>
    <t xml:space="preserve">MEDIUM</t>
  </si>
  <si>
    <t xml:space="preserve">IDB; OLADE (Latin America Energy Org)</t>
  </si>
  <si>
    <t xml:space="preserve">Available now</t>
  </si>
  <si>
    <t xml:space="preserve">data/raw/caricom_ccreee/trinidad_certhilac/</t>
  </si>
  <si>
    <t xml:space="preserve">Barbados HDF Energy/Rubis Renewstable project data (50MW solar+H₂, 2027)</t>
  </si>
  <si>
    <t xml:space="preserve">HDF Energy; Rubis Caribbean</t>
  </si>
  <si>
    <t xml:space="preserve">2027 operational</t>
  </si>
  <si>
    <t xml:space="preserve">data/raw/caricom_ccreee/barbados_hydrogen_project/</t>
  </si>
  <si>
    <t xml:space="preserve">Per-country port depth, handling capacity, grid connection data</t>
  </si>
  <si>
    <t xml:space="preserve">National port authorities; national utilities</t>
  </si>
  <si>
    <t xml:space="preserve">On request</t>
  </si>
  <si>
    <t xml:space="preserve">data/raw/pacific_hydrogen_strategy/logistics/</t>
  </si>
  <si>
    <t xml:space="preserve">Green Iron Investment Fund project pipeline ($1B fund — project selection)</t>
  </si>
  <si>
    <t xml:space="preserve">LOW</t>
  </si>
  <si>
    <t xml:space="preserve">Dept Industry Science &amp; Resources</t>
  </si>
  <si>
    <t xml:space="preserve">Rolling announcements</t>
  </si>
  <si>
    <t xml:space="preserve">data/raw/australia_green_iron/green_iron_fund/</t>
  </si>
  <si>
    <t xml:space="preserve">Open-source Pacific H₂ techno-economic assessment tool (DCCEEW in development)</t>
  </si>
  <si>
    <t xml:space="preserve">DCCEEW; UNSW Sydney</t>
  </si>
  <si>
    <t xml:space="preserve">~2026</t>
  </si>
  <si>
    <t xml:space="preserve">data/raw/pacific_hydrogen_strategy/technoeconomic_tool/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</si>
</sst>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"/>
    <numFmt numFmtId="166" formatCode="0.000%"/>
    <numFmt numFmtId="167" formatCode="#,##0"/>
    <numFmt numFmtId="168" formatCode="0.0%"/>
    <numFmt numFmtId="169" formatCode="0.0"/>
    <numFmt numFmtId="170" formatCode="0.00\x"/>
    <numFmt numFmtId="171" formatCode="@"/>
    <numFmt numFmtId="172" formatCode="0.0000"/>
    <numFmt numFmtId="173" formatCode="0.0000%"/>
    <numFmt numFmtId="174" formatCode="\$#,##0.00"/>
    <numFmt numFmtId="175" formatCode="\$#,##0.0000"/>
    <numFmt numFmtId="176" formatCode="0%"/>
    <numFmt numFmtId="177" formatCode="0.00%"/>
    <numFmt numFmtId="178" formatCode="\$0.00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4A843"/>
      <name val="Arial"/>
      <family val="0"/>
      <charset val="1"/>
    </font>
    <font>
      <i val="true"/>
      <sz val="9"/>
      <color rgb="FF8899AA"/>
      <name val="Arial"/>
      <family val="0"/>
      <charset val="1"/>
    </font>
    <font>
      <b val="true"/>
      <sz val="10"/>
      <color rgb="FFD4A843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AA6600"/>
      <name val="Arial"/>
      <family val="0"/>
      <charset val="1"/>
    </font>
    <font>
      <i val="true"/>
      <sz val="8"/>
      <color rgb="FF0066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8"/>
      <color rgb="FF884400"/>
      <name val="Arial"/>
      <family val="0"/>
      <charset val="1"/>
    </font>
    <font>
      <b val="true"/>
      <sz val="13"/>
      <color rgb="FFD4A84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0D1528"/>
      <name val="Arial"/>
      <family val="0"/>
      <charset val="1"/>
    </font>
    <font>
      <i val="true"/>
      <sz val="10"/>
      <color rgb="FFD4A843"/>
      <name val="Arial"/>
      <family val="0"/>
      <charset val="1"/>
    </font>
    <font>
      <i val="true"/>
      <sz val="9"/>
      <color rgb="FF0066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CC0000"/>
      <name val="Arial"/>
      <family val="0"/>
      <charset val="1"/>
    </font>
    <font>
      <sz val="9"/>
      <color rgb="FF0088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1"/>
      <color rgb="FF0066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8"/>
      <color rgb="FF8899AA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E2D9C8"/>
      <name val="Arial"/>
      <family val="0"/>
      <charset val="1"/>
    </font>
    <font>
      <sz val="9"/>
      <color rgb="FF00C49A"/>
      <name val="Arial"/>
      <family val="0"/>
      <charset val="1"/>
    </font>
    <font>
      <sz val="9"/>
      <color rgb="FF4A9EFF"/>
      <name val="Arial"/>
      <family val="0"/>
      <charset val="1"/>
    </font>
    <font>
      <b val="true"/>
      <sz val="10"/>
      <color rgb="FF884400"/>
      <name val="Arial"/>
      <family val="0"/>
      <charset val="1"/>
    </font>
    <font>
      <sz val="9"/>
      <color rgb="FFE2D9C8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0C49A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844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9"/>
      <color rgb="FFD4A843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AA4400"/>
      <name val="Arial"/>
      <family val="0"/>
      <charset val="1"/>
    </font>
    <font>
      <b val="true"/>
      <sz val="9"/>
      <color rgb="FF005500"/>
      <name val="Arial"/>
      <family val="0"/>
      <charset val="1"/>
    </font>
    <font>
      <b val="true"/>
      <sz val="9"/>
      <color rgb="FF555555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 diagonalUp="false" diagonalDown="false">
      <left style="thin">
        <color rgb="FF1C2B44"/>
      </left>
      <right/>
      <top style="thin">
        <color rgb="FF1C2B44"/>
      </top>
      <bottom style="thin">
        <color rgb="FF1C2B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5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5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0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78" fontId="4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3" fillId="0" borderId="3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5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'Bond Cashflows'!E3</c:f>
              <c:strCache>
                <c:ptCount val="1"/>
                <c:pt idx="0">
                  <c:v>Bond
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'Bond Cashflows'!$A$4:$A$23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'Bond Cashflows'!$E$4:$E$23</c:f>
              <c:numCache>
                <c:formatCode>\$#,##0</c:formatCode>
                <c:ptCount val="20"/>
                <c:pt idx="0">
                  <c:v>4702500000</c:v>
                </c:pt>
                <c:pt idx="1">
                  <c:v>4914112500</c:v>
                </c:pt>
                <c:pt idx="2">
                  <c:v>5135247562.5</c:v>
                </c:pt>
                <c:pt idx="3">
                  <c:v>5366333702.8125</c:v>
                </c:pt>
                <c:pt idx="4">
                  <c:v>5607818719.43906</c:v>
                </c:pt>
                <c:pt idx="5">
                  <c:v>5860170561.81382</c:v>
                </c:pt>
                <c:pt idx="6">
                  <c:v>6123878237.09544</c:v>
                </c:pt>
                <c:pt idx="7">
                  <c:v>6399452757.76474</c:v>
                </c:pt>
                <c:pt idx="8">
                  <c:v>6687428131.86415</c:v>
                </c:pt>
                <c:pt idx="9">
                  <c:v>6988362397.79804</c:v>
                </c:pt>
                <c:pt idx="10">
                  <c:v>7302838705.69895</c:v>
                </c:pt>
                <c:pt idx="11">
                  <c:v>7631466447.4554</c:v>
                </c:pt>
                <c:pt idx="12">
                  <c:v>7974882437.59089</c:v>
                </c:pt>
                <c:pt idx="13">
                  <c:v>8333752147.28248</c:v>
                </c:pt>
                <c:pt idx="14">
                  <c:v>8708770993.9102</c:v>
                </c:pt>
                <c:pt idx="15">
                  <c:v>9100665688.63615</c:v>
                </c:pt>
                <c:pt idx="16">
                  <c:v>9510195644.62478</c:v>
                </c:pt>
                <c:pt idx="17">
                  <c:v>9938154448.6329</c:v>
                </c:pt>
                <c:pt idx="18">
                  <c:v>10385371398.8214</c:v>
                </c:pt>
                <c:pt idx="19">
                  <c:v>10852713111.7683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'Bond Cashflows'!H3</c:f>
              <c:strCache>
                <c:ptCount val="1"/>
                <c:pt idx="0">
                  <c:v>Net → SWF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'Bond Cashflows'!$A$4:$A$23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'Bond Cashflows'!$H$4:$H$23</c:f>
              <c:numCache>
                <c:formatCode>\$#,##0</c:formatCode>
                <c:ptCount val="20"/>
                <c:pt idx="0">
                  <c:v>-14057350.5417835</c:v>
                </c:pt>
                <c:pt idx="1">
                  <c:v>-14057350.5417835</c:v>
                </c:pt>
                <c:pt idx="2">
                  <c:v>-14057350.5417835</c:v>
                </c:pt>
                <c:pt idx="3">
                  <c:v>-14057350.5417835</c:v>
                </c:pt>
                <c:pt idx="4">
                  <c:v>-14057350.5417835</c:v>
                </c:pt>
                <c:pt idx="5">
                  <c:v>-14057350.5417835</c:v>
                </c:pt>
                <c:pt idx="6">
                  <c:v>-14057350.5417835</c:v>
                </c:pt>
                <c:pt idx="7">
                  <c:v>-14057350.5417835</c:v>
                </c:pt>
                <c:pt idx="8">
                  <c:v>-14057350.5417835</c:v>
                </c:pt>
                <c:pt idx="9">
                  <c:v>-14057350.5417835</c:v>
                </c:pt>
                <c:pt idx="10">
                  <c:v>-14057350.5417835</c:v>
                </c:pt>
                <c:pt idx="11">
                  <c:v>-14057350.5417835</c:v>
                </c:pt>
                <c:pt idx="12">
                  <c:v>-14057350.5417835</c:v>
                </c:pt>
                <c:pt idx="13">
                  <c:v>-14057350.5417835</c:v>
                </c:pt>
                <c:pt idx="14">
                  <c:v>-14057350.5417835</c:v>
                </c:pt>
                <c:pt idx="15">
                  <c:v>-14057350.5417835</c:v>
                </c:pt>
                <c:pt idx="16">
                  <c:v>-14057350.5417835</c:v>
                </c:pt>
                <c:pt idx="17">
                  <c:v>-14057350.5417835</c:v>
                </c:pt>
                <c:pt idx="18">
                  <c:v>-14057350.5417835</c:v>
                </c:pt>
                <c:pt idx="19">
                  <c:v>-14057350.5417835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821850"/>
        <c:axId val="45027483"/>
      </c:lineChart>
      <c:catAx>
        <c:axId val="788218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27483"/>
        <c:crosses val="autoZero"/>
        <c:auto val="1"/>
        <c:lblAlgn val="ctr"/>
        <c:lblOffset val="100"/>
        <c:noMultiLvlLbl val="0"/>
      </c:catAx>
      <c:valAx>
        <c:axId val="45027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218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'SWF Projection'!C3</c:f>
              <c:strCache>
                <c:ptCount val="1"/>
                <c:pt idx="0">
                  <c:v>SWF 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'SWF Projection'!$A$4:$A$28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'SWF Projection'!$C$4:$C$28</c:f>
              <c:numCache>
                <c:formatCode>\$#,##0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6473"/>
        <c:axId val="41737403"/>
      </c:lineChart>
      <c:catAx>
        <c:axId val="3964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37403"/>
        <c:crosses val="autoZero"/>
        <c:auto val="1"/>
        <c:lblAlgn val="ctr"/>
        <c:lblOffset val="100"/>
        <c:noMultiLvlLbl val="0"/>
      </c:catAx>
      <c:valAx>
        <c:axId val="41737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4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7</xdr:col>
      <xdr:colOff>132120</xdr:colOff>
      <xdr:row>47</xdr:row>
      <xdr:rowOff>124560</xdr:rowOff>
    </xdr:to>
    <xdr:graphicFrame>
      <xdr:nvGraphicFramePr>
        <xdr:cNvPr id="0" name="Chart 1"/>
        <xdr:cNvGraphicFramePr/>
      </xdr:nvGraphicFramePr>
      <xdr:xfrm>
        <a:off x="0" y="5400720"/>
        <a:ext cx="6475680" cy="431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97200</xdr:rowOff>
    </xdr:from>
    <xdr:to>
      <xdr:col>8</xdr:col>
      <xdr:colOff>129960</xdr:colOff>
      <xdr:row>58</xdr:row>
      <xdr:rowOff>31320</xdr:rowOff>
    </xdr:to>
    <xdr:graphicFrame>
      <xdr:nvGraphicFramePr>
        <xdr:cNvPr id="1" name="Chart 1"/>
        <xdr:cNvGraphicFramePr/>
      </xdr:nvGraphicFramePr>
      <xdr:xfrm>
        <a:off x="0" y="7298280"/>
        <a:ext cx="6475680" cy="431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49A"/>
    <pageSetUpPr fitToPage="false"/>
  </sheetPr>
  <dimension ref="A1:F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6"/>
    <col collapsed="false" customWidth="true" hidden="false" outlineLevel="0" max="4" min="4" style="1" width="28"/>
    <col collapsed="false" customWidth="true" hidden="false" outlineLevel="0" max="5" min="5" style="1" width="16"/>
    <col collapsed="false" customWidth="true" hidden="false" outlineLevel="0" max="6" min="6" style="1" width="2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" t="s">
        <v>3</v>
      </c>
      <c r="B5" s="6" t="n">
        <v>4500000000</v>
      </c>
      <c r="C5" s="7" t="s">
        <v>4</v>
      </c>
    </row>
    <row r="6" customFormat="false" ht="15" hidden="false" customHeight="true" outlineLevel="0" collapsed="false">
      <c r="A6" s="5" t="s">
        <v>5</v>
      </c>
      <c r="B6" s="8" t="n">
        <v>0.045</v>
      </c>
      <c r="C6" s="7" t="s">
        <v>6</v>
      </c>
    </row>
    <row r="7" customFormat="false" ht="15" hidden="false" customHeight="true" outlineLevel="0" collapsed="false">
      <c r="A7" s="5" t="s">
        <v>7</v>
      </c>
      <c r="B7" s="9" t="n">
        <v>20</v>
      </c>
      <c r="C7" s="7" t="s">
        <v>8</v>
      </c>
    </row>
    <row r="8" customFormat="false" ht="15" hidden="false" customHeight="true" outlineLevel="0" collapsed="false">
      <c r="A8" s="5" t="s">
        <v>9</v>
      </c>
      <c r="B8" s="6" t="n">
        <v>450000000</v>
      </c>
      <c r="C8" s="7" t="s">
        <v>10</v>
      </c>
    </row>
    <row r="9" customFormat="false" ht="15" hidden="false" customHeight="true" outlineLevel="0" collapsed="false">
      <c r="A9" s="5" t="s">
        <v>11</v>
      </c>
      <c r="B9" s="10" t="n">
        <v>0.8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10" t="n">
        <v>0.02</v>
      </c>
      <c r="C10" s="7" t="s">
        <v>14</v>
      </c>
    </row>
    <row r="11" customFormat="false" ht="18" hidden="false" customHeight="true" outlineLevel="0" collapsed="false">
      <c r="A11" s="4" t="s">
        <v>15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A12" s="5" t="s">
        <v>16</v>
      </c>
      <c r="B12" s="11" t="n">
        <f aca="false">B5*(B6*(1+B6)^B7)/((1+B6)^B7-1)</f>
        <v>345942649.458217</v>
      </c>
    </row>
    <row r="13" customFormat="false" ht="15" hidden="false" customHeight="true" outlineLevel="0" collapsed="false">
      <c r="A13" s="5" t="s">
        <v>17</v>
      </c>
      <c r="B13" s="11" t="n">
        <f aca="false">B8*B9</f>
        <v>360000000</v>
      </c>
    </row>
    <row r="14" customFormat="false" ht="15" hidden="false" customHeight="true" outlineLevel="0" collapsed="false">
      <c r="A14" s="5" t="s">
        <v>18</v>
      </c>
      <c r="B14" s="11" t="n">
        <f aca="false">B5*B10</f>
        <v>90000000</v>
      </c>
    </row>
    <row r="15" customFormat="false" ht="15" hidden="false" customHeight="true" outlineLevel="0" collapsed="false">
      <c r="A15" s="5" t="s">
        <v>19</v>
      </c>
      <c r="B15" s="11" t="n">
        <f aca="false">B12-B11-B13</f>
        <v>-14057350.5417835</v>
      </c>
    </row>
    <row r="16" customFormat="false" ht="15" hidden="false" customHeight="true" outlineLevel="0" collapsed="false">
      <c r="A16" s="5" t="s">
        <v>20</v>
      </c>
      <c r="B16" s="11" t="n">
        <f aca="false">B12*B7</f>
        <v>6918852989.16433</v>
      </c>
    </row>
    <row r="18" customFormat="false" ht="18" hidden="false" customHeight="true" outlineLevel="0" collapsed="false">
      <c r="A18" s="4" t="s">
        <v>21</v>
      </c>
      <c r="B18" s="4"/>
      <c r="C18" s="4"/>
      <c r="D18" s="4"/>
      <c r="E18" s="4"/>
      <c r="F18" s="4"/>
    </row>
    <row r="19" customFormat="false" ht="15" hidden="false" customHeight="true" outlineLevel="0" collapsed="false">
      <c r="A19" s="5" t="s">
        <v>22</v>
      </c>
      <c r="B19" s="10" t="n">
        <v>0.07</v>
      </c>
      <c r="C19" s="7" t="s">
        <v>23</v>
      </c>
    </row>
    <row r="20" customFormat="false" ht="15" hidden="false" customHeight="true" outlineLevel="0" collapsed="false">
      <c r="A20" s="5" t="s">
        <v>24</v>
      </c>
      <c r="B20" s="10" t="n">
        <v>0.084</v>
      </c>
      <c r="C20" s="7" t="s">
        <v>25</v>
      </c>
    </row>
    <row r="21" customFormat="false" ht="15" hidden="false" customHeight="true" outlineLevel="0" collapsed="false">
      <c r="A21" s="5" t="s">
        <v>26</v>
      </c>
      <c r="B21" s="10" t="n">
        <v>0.15</v>
      </c>
      <c r="C21" s="7" t="s">
        <v>27</v>
      </c>
    </row>
    <row r="22" customFormat="false" ht="15" hidden="false" customHeight="true" outlineLevel="0" collapsed="false">
      <c r="A22" s="5" t="s">
        <v>28</v>
      </c>
      <c r="B22" s="10" t="n">
        <v>0.05</v>
      </c>
      <c r="C22" s="7" t="s">
        <v>29</v>
      </c>
    </row>
    <row r="23" customFormat="false" ht="15" hidden="false" customHeight="true" outlineLevel="0" collapsed="false">
      <c r="A23" s="5" t="s">
        <v>30</v>
      </c>
      <c r="B23" s="10" t="n">
        <v>0.15</v>
      </c>
      <c r="C23" s="7" t="s">
        <v>31</v>
      </c>
    </row>
    <row r="24" customFormat="false" ht="15" hidden="false" customHeight="true" outlineLevel="0" collapsed="false">
      <c r="A24" s="5" t="s">
        <v>32</v>
      </c>
      <c r="B24" s="9" t="n">
        <v>25</v>
      </c>
      <c r="C24" s="7" t="s">
        <v>33</v>
      </c>
    </row>
    <row r="25" customFormat="false" ht="15" hidden="false" customHeight="true" outlineLevel="0" collapsed="false">
      <c r="A25" s="5" t="s">
        <v>34</v>
      </c>
      <c r="B25" s="12" t="n">
        <f aca="false">(1-B21)*B19+B21*B22</f>
        <v>0.067</v>
      </c>
      <c r="C25" s="7" t="s">
        <v>35</v>
      </c>
    </row>
    <row r="27" customFormat="false" ht="18" hidden="false" customHeight="true" outlineLevel="0" collapsed="false">
      <c r="A27" s="4" t="s">
        <v>36</v>
      </c>
      <c r="B27" s="4"/>
      <c r="C27" s="4"/>
      <c r="D27" s="4"/>
      <c r="E27" s="4"/>
      <c r="F27" s="4"/>
    </row>
    <row r="28" customFormat="false" ht="15" hidden="false" customHeight="true" outlineLevel="0" collapsed="false">
      <c r="A28" s="5" t="s">
        <v>37</v>
      </c>
      <c r="B28" s="6" t="n">
        <v>900000000</v>
      </c>
      <c r="C28" s="7" t="s">
        <v>38</v>
      </c>
    </row>
    <row r="29" customFormat="false" ht="15" hidden="false" customHeight="true" outlineLevel="0" collapsed="false">
      <c r="A29" s="5" t="s">
        <v>39</v>
      </c>
      <c r="B29" s="6" t="n">
        <v>40000000</v>
      </c>
      <c r="C29" s="7" t="s">
        <v>40</v>
      </c>
    </row>
    <row r="30" customFormat="false" ht="15" hidden="false" customHeight="true" outlineLevel="0" collapsed="false">
      <c r="A30" s="5" t="s">
        <v>41</v>
      </c>
      <c r="B30" s="10" t="n">
        <v>0.18</v>
      </c>
      <c r="C30" s="7" t="s">
        <v>42</v>
      </c>
    </row>
    <row r="31" customFormat="false" ht="15" hidden="false" customHeight="true" outlineLevel="0" collapsed="false">
      <c r="A31" s="5" t="s">
        <v>43</v>
      </c>
      <c r="B31" s="13" t="n">
        <f aca="false">LN(1+B28*B30/B29)/LN(1+B30)</f>
        <v>9.78396965353987</v>
      </c>
      <c r="C31" s="7" t="s">
        <v>44</v>
      </c>
    </row>
    <row r="33" customFormat="false" ht="18" hidden="false" customHeight="true" outlineLevel="0" collapsed="false">
      <c r="A33" s="4" t="s">
        <v>45</v>
      </c>
      <c r="B33" s="4"/>
      <c r="C33" s="4"/>
      <c r="D33" s="4"/>
      <c r="E33" s="4"/>
      <c r="F33" s="4"/>
    </row>
    <row r="34" customFormat="false" ht="15" hidden="false" customHeight="true" outlineLevel="0" collapsed="false">
      <c r="A34" s="5" t="s">
        <v>46</v>
      </c>
      <c r="B34" s="10" t="n">
        <v>0.05</v>
      </c>
      <c r="C34" s="7" t="s">
        <v>47</v>
      </c>
    </row>
    <row r="35" customFormat="false" ht="15" hidden="false" customHeight="true" outlineLevel="0" collapsed="false">
      <c r="A35" s="5" t="s">
        <v>48</v>
      </c>
      <c r="B35" s="10" t="n">
        <v>0.025</v>
      </c>
      <c r="C35" s="7" t="s">
        <v>49</v>
      </c>
    </row>
    <row r="36" customFormat="false" ht="15" hidden="false" customHeight="true" outlineLevel="0" collapsed="false">
      <c r="A36" s="5" t="s">
        <v>50</v>
      </c>
      <c r="B36" s="10" t="n">
        <v>0.02</v>
      </c>
      <c r="C36" s="7" t="s">
        <v>51</v>
      </c>
    </row>
    <row r="37" customFormat="false" ht="15" hidden="false" customHeight="true" outlineLevel="0" collapsed="false">
      <c r="A37" s="5" t="s">
        <v>52</v>
      </c>
      <c r="B37" s="10" t="n">
        <v>0.5</v>
      </c>
      <c r="C37" s="7" t="s">
        <v>53</v>
      </c>
    </row>
    <row r="38" customFormat="false" ht="15" hidden="false" customHeight="true" outlineLevel="0" collapsed="false">
      <c r="A38" s="5" t="s">
        <v>54</v>
      </c>
      <c r="B38" s="14" t="n">
        <v>0.45</v>
      </c>
      <c r="C38" s="15" t="s">
        <v>55</v>
      </c>
    </row>
    <row r="39" customFormat="false" ht="15.75" hidden="false" customHeight="true" outlineLevel="0" collapsed="false">
      <c r="A39" s="5" t="s">
        <v>56</v>
      </c>
      <c r="B39" s="6" t="n">
        <v>3600000000</v>
      </c>
      <c r="C39" s="7" t="s">
        <v>57</v>
      </c>
    </row>
    <row r="40" customFormat="false" ht="18" hidden="false" customHeight="true" outlineLevel="0" collapsed="false">
      <c r="A40" s="4" t="s">
        <v>58</v>
      </c>
      <c r="B40" s="4"/>
      <c r="C40" s="4"/>
      <c r="D40" s="4"/>
      <c r="E40" s="4"/>
      <c r="F40" s="4"/>
    </row>
    <row r="41" customFormat="false" ht="15" hidden="false" customHeight="true" outlineLevel="0" collapsed="false">
      <c r="A41" s="5" t="s">
        <v>59</v>
      </c>
      <c r="B41" s="11" t="n">
        <f aca="false">B5*B34</f>
        <v>225000000</v>
      </c>
      <c r="C41" s="16" t="s">
        <v>60</v>
      </c>
    </row>
    <row r="42" customFormat="false" ht="15" hidden="false" customHeight="true" outlineLevel="0" collapsed="false">
      <c r="A42" s="5" t="s">
        <v>61</v>
      </c>
      <c r="B42" s="11" t="n">
        <f aca="false">B39*B35</f>
        <v>90000000</v>
      </c>
    </row>
    <row r="43" customFormat="false" ht="15" hidden="false" customHeight="true" outlineLevel="0" collapsed="false">
      <c r="A43" s="5" t="s">
        <v>62</v>
      </c>
      <c r="B43" s="11" t="n">
        <f aca="false">B42*B7</f>
        <v>1800000000</v>
      </c>
    </row>
    <row r="44" customFormat="false" ht="15" hidden="false" customHeight="true" outlineLevel="0" collapsed="false">
      <c r="A44" s="5" t="s">
        <v>63</v>
      </c>
      <c r="B44" s="11" t="n">
        <f aca="false">B36*B37*B41</f>
        <v>2250000</v>
      </c>
    </row>
    <row r="45" customFormat="false" ht="15" hidden="false" customHeight="true" outlineLevel="0" collapsed="false">
      <c r="A45" s="5" t="s">
        <v>64</v>
      </c>
      <c r="B45" s="11" t="n">
        <f aca="false">B43-B44</f>
        <v>1797750000</v>
      </c>
      <c r="C45" s="17" t="s">
        <v>65</v>
      </c>
    </row>
    <row r="46" customFormat="false" ht="15" hidden="false" customHeight="true" outlineLevel="0" collapsed="false">
      <c r="A46" s="5" t="s">
        <v>66</v>
      </c>
      <c r="B46" s="11" t="n">
        <f aca="false">B5*B38</f>
        <v>2025000000</v>
      </c>
      <c r="C46" s="18" t="s">
        <v>67</v>
      </c>
    </row>
    <row r="47" customFormat="false" ht="30" hidden="false" customHeight="true" outlineLevel="0" collapsed="false">
      <c r="A47" s="5" t="s">
        <v>68</v>
      </c>
      <c r="B47" s="19" t="n">
        <f aca="false">B45+B46</f>
        <v>3822750000</v>
      </c>
      <c r="C47" s="20" t="s">
        <v>69</v>
      </c>
    </row>
    <row r="48" customFormat="false" ht="15" hidden="false" customHeight="true" outlineLevel="0" collapsed="false">
      <c r="A48" s="7" t="s">
        <v>70</v>
      </c>
    </row>
  </sheetData>
  <mergeCells count="8">
    <mergeCell ref="A1:F1"/>
    <mergeCell ref="A2:F2"/>
    <mergeCell ref="A4:F4"/>
    <mergeCell ref="A11:F11"/>
    <mergeCell ref="A18:F18"/>
    <mergeCell ref="A27:F27"/>
    <mergeCell ref="A33:F33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8" min="2" style="1" width="14"/>
    <col collapsed="false" customWidth="true" hidden="false" outlineLevel="0" max="9" min="9" style="1" width="18"/>
  </cols>
  <sheetData>
    <row r="1" customFormat="false" ht="34.5" hidden="false" customHeight="true" outlineLevel="0" collapsed="false">
      <c r="A1" s="21" t="s">
        <v>71</v>
      </c>
      <c r="B1" s="21"/>
      <c r="C1" s="21"/>
      <c r="D1" s="21"/>
      <c r="E1" s="21"/>
      <c r="F1" s="21"/>
      <c r="G1" s="21"/>
      <c r="H1" s="21"/>
      <c r="I1" s="21"/>
    </row>
    <row r="2" customFormat="false" ht="15" hidden="false" customHeight="true" outlineLevel="0" collapsed="false">
      <c r="A2" s="3" t="s">
        <v>72</v>
      </c>
      <c r="B2" s="3"/>
      <c r="C2" s="3"/>
      <c r="D2" s="3"/>
      <c r="E2" s="3"/>
      <c r="F2" s="3"/>
      <c r="G2" s="3"/>
      <c r="H2" s="3"/>
      <c r="I2" s="3"/>
    </row>
    <row r="3" customFormat="false" ht="27.75" hidden="false" customHeight="true" outlineLevel="0" collapsed="false">
      <c r="A3" s="22" t="s">
        <v>73</v>
      </c>
      <c r="B3" s="22" t="s">
        <v>74</v>
      </c>
      <c r="C3" s="22" t="s">
        <v>75</v>
      </c>
      <c r="D3" s="22" t="s">
        <v>76</v>
      </c>
      <c r="E3" s="22" t="s">
        <v>77</v>
      </c>
      <c r="F3" s="22" t="s">
        <v>78</v>
      </c>
      <c r="G3" s="22" t="s">
        <v>79</v>
      </c>
      <c r="H3" s="22" t="s">
        <v>80</v>
      </c>
      <c r="I3" s="22" t="s">
        <v>81</v>
      </c>
    </row>
    <row r="4" customFormat="false" ht="15.75" hidden="false" customHeight="true" outlineLevel="0" collapsed="false">
      <c r="A4" s="23" t="n">
        <v>1</v>
      </c>
      <c r="B4" s="11" t="n">
        <f aca="false">Assumptions!$B$11</f>
        <v>0</v>
      </c>
      <c r="C4" s="11" t="n">
        <f aca="false">Assumptions!$B$5*Assumptions!$B$6</f>
        <v>202500000</v>
      </c>
      <c r="D4" s="11" t="n">
        <f aca="false">B4-C4</f>
        <v>-202500000</v>
      </c>
      <c r="E4" s="11" t="n">
        <f aca="false">MAX(0,Assumptions!$B$5-D4)</f>
        <v>4702500000</v>
      </c>
      <c r="F4" s="11" t="n">
        <f aca="false">Assumptions!$B$12</f>
        <v>345942649.458217</v>
      </c>
      <c r="G4" s="11" t="n">
        <f aca="false">Assumptions!$B$13</f>
        <v>360000000</v>
      </c>
      <c r="H4" s="24" t="n">
        <f aca="false">F4-B4-G4</f>
        <v>-14057350.5417835</v>
      </c>
      <c r="I4" s="11" t="n">
        <f aca="false">F4</f>
        <v>345942649.458217</v>
      </c>
    </row>
    <row r="5" customFormat="false" ht="15.75" hidden="false" customHeight="true" outlineLevel="0" collapsed="false">
      <c r="A5" s="23" t="n">
        <v>2</v>
      </c>
      <c r="B5" s="11" t="n">
        <f aca="false">Assumptions!$B$11</f>
        <v>0</v>
      </c>
      <c r="C5" s="11" t="n">
        <f aca="false">E4*Assumptions!$B$6</f>
        <v>211612500</v>
      </c>
      <c r="D5" s="11" t="n">
        <f aca="false">B5-C5</f>
        <v>-211612500</v>
      </c>
      <c r="E5" s="11" t="n">
        <f aca="false">MAX(0,E4-D5)</f>
        <v>4914112500</v>
      </c>
      <c r="F5" s="11" t="n">
        <f aca="false">Assumptions!$B$12</f>
        <v>345942649.458217</v>
      </c>
      <c r="G5" s="11" t="n">
        <f aca="false">Assumptions!$B$13</f>
        <v>360000000</v>
      </c>
      <c r="H5" s="24" t="n">
        <f aca="false">F5-B5-G5</f>
        <v>-14057350.5417835</v>
      </c>
      <c r="I5" s="11" t="n">
        <f aca="false">I4+F5</f>
        <v>691885298.916433</v>
      </c>
    </row>
    <row r="6" customFormat="false" ht="15.75" hidden="false" customHeight="true" outlineLevel="0" collapsed="false">
      <c r="A6" s="23" t="n">
        <v>3</v>
      </c>
      <c r="B6" s="11" t="n">
        <f aca="false">Assumptions!$B$11</f>
        <v>0</v>
      </c>
      <c r="C6" s="11" t="n">
        <f aca="false">E5*Assumptions!$B$6</f>
        <v>221135062.5</v>
      </c>
      <c r="D6" s="11" t="n">
        <f aca="false">B6-C6</f>
        <v>-221135062.5</v>
      </c>
      <c r="E6" s="11" t="n">
        <f aca="false">MAX(0,E5-D6)</f>
        <v>5135247562.5</v>
      </c>
      <c r="F6" s="11" t="n">
        <f aca="false">Assumptions!$B$12</f>
        <v>345942649.458217</v>
      </c>
      <c r="G6" s="11" t="n">
        <f aca="false">Assumptions!$B$13</f>
        <v>360000000</v>
      </c>
      <c r="H6" s="24" t="n">
        <f aca="false">F6-B6-G6</f>
        <v>-14057350.5417835</v>
      </c>
      <c r="I6" s="11" t="n">
        <f aca="false">I5+F6</f>
        <v>1037827948.37465</v>
      </c>
    </row>
    <row r="7" customFormat="false" ht="15.75" hidden="false" customHeight="true" outlineLevel="0" collapsed="false">
      <c r="A7" s="23" t="n">
        <v>4</v>
      </c>
      <c r="B7" s="11" t="n">
        <f aca="false">Assumptions!$B$11</f>
        <v>0</v>
      </c>
      <c r="C7" s="11" t="n">
        <f aca="false">E6*Assumptions!$B$6</f>
        <v>231086140.3125</v>
      </c>
      <c r="D7" s="11" t="n">
        <f aca="false">B7-C7</f>
        <v>-231086140.3125</v>
      </c>
      <c r="E7" s="11" t="n">
        <f aca="false">MAX(0,E6-D7)</f>
        <v>5366333702.8125</v>
      </c>
      <c r="F7" s="11" t="n">
        <f aca="false">Assumptions!$B$12</f>
        <v>345942649.458217</v>
      </c>
      <c r="G7" s="11" t="n">
        <f aca="false">Assumptions!$B$13</f>
        <v>360000000</v>
      </c>
      <c r="H7" s="24" t="n">
        <f aca="false">F7-B7-G7</f>
        <v>-14057350.5417835</v>
      </c>
      <c r="I7" s="11" t="n">
        <f aca="false">I6+F7</f>
        <v>1383770597.83287</v>
      </c>
    </row>
    <row r="8" customFormat="false" ht="15.75" hidden="false" customHeight="true" outlineLevel="0" collapsed="false">
      <c r="A8" s="23" t="n">
        <v>5</v>
      </c>
      <c r="B8" s="11" t="n">
        <f aca="false">Assumptions!$B$11</f>
        <v>0</v>
      </c>
      <c r="C8" s="11" t="n">
        <f aca="false">E7*Assumptions!$B$6</f>
        <v>241485016.626563</v>
      </c>
      <c r="D8" s="11" t="n">
        <f aca="false">B8-C8</f>
        <v>-241485016.626563</v>
      </c>
      <c r="E8" s="11" t="n">
        <f aca="false">MAX(0,E7-D8)</f>
        <v>5607818719.43906</v>
      </c>
      <c r="F8" s="11" t="n">
        <f aca="false">Assumptions!$B$12</f>
        <v>345942649.458217</v>
      </c>
      <c r="G8" s="11" t="n">
        <f aca="false">Assumptions!$B$13</f>
        <v>360000000</v>
      </c>
      <c r="H8" s="24" t="n">
        <f aca="false">F8-B8-G8</f>
        <v>-14057350.5417835</v>
      </c>
      <c r="I8" s="11" t="n">
        <f aca="false">I7+F8</f>
        <v>1729713247.29108</v>
      </c>
    </row>
    <row r="9" customFormat="false" ht="15.75" hidden="false" customHeight="true" outlineLevel="0" collapsed="false">
      <c r="A9" s="23" t="n">
        <v>6</v>
      </c>
      <c r="B9" s="11" t="n">
        <f aca="false">Assumptions!$B$11</f>
        <v>0</v>
      </c>
      <c r="C9" s="11" t="n">
        <f aca="false">E8*Assumptions!$B$6</f>
        <v>252351842.374758</v>
      </c>
      <c r="D9" s="11" t="n">
        <f aca="false">B9-C9</f>
        <v>-252351842.374758</v>
      </c>
      <c r="E9" s="11" t="n">
        <f aca="false">MAX(0,E8-D9)</f>
        <v>5860170561.81382</v>
      </c>
      <c r="F9" s="11" t="n">
        <f aca="false">Assumptions!$B$12</f>
        <v>345942649.458217</v>
      </c>
      <c r="G9" s="11" t="n">
        <f aca="false">Assumptions!$B$13</f>
        <v>360000000</v>
      </c>
      <c r="H9" s="24" t="n">
        <f aca="false">F9-B9-G9</f>
        <v>-14057350.5417835</v>
      </c>
      <c r="I9" s="11" t="n">
        <f aca="false">I8+F9</f>
        <v>2075655896.7493</v>
      </c>
    </row>
    <row r="10" customFormat="false" ht="15.75" hidden="false" customHeight="true" outlineLevel="0" collapsed="false">
      <c r="A10" s="23" t="n">
        <v>7</v>
      </c>
      <c r="B10" s="11" t="n">
        <f aca="false">Assumptions!$B$11</f>
        <v>0</v>
      </c>
      <c r="C10" s="11" t="n">
        <f aca="false">E9*Assumptions!$B$6</f>
        <v>263707675.281622</v>
      </c>
      <c r="D10" s="11" t="n">
        <f aca="false">B10-C10</f>
        <v>-263707675.281622</v>
      </c>
      <c r="E10" s="11" t="n">
        <f aca="false">MAX(0,E9-D10)</f>
        <v>6123878237.09544</v>
      </c>
      <c r="F10" s="11" t="n">
        <f aca="false">Assumptions!$B$12</f>
        <v>345942649.458217</v>
      </c>
      <c r="G10" s="11" t="n">
        <f aca="false">Assumptions!$B$13</f>
        <v>360000000</v>
      </c>
      <c r="H10" s="24" t="n">
        <f aca="false">F10-B10-G10</f>
        <v>-14057350.5417835</v>
      </c>
      <c r="I10" s="11" t="n">
        <f aca="false">I9+F10</f>
        <v>2421598546.20752</v>
      </c>
    </row>
    <row r="11" customFormat="false" ht="15.75" hidden="false" customHeight="true" outlineLevel="0" collapsed="false">
      <c r="A11" s="23" t="n">
        <v>8</v>
      </c>
      <c r="B11" s="11" t="n">
        <f aca="false">Assumptions!$B$11</f>
        <v>0</v>
      </c>
      <c r="C11" s="11" t="n">
        <f aca="false">E10*Assumptions!$B$6</f>
        <v>275574520.669295</v>
      </c>
      <c r="D11" s="11" t="n">
        <f aca="false">B11-C11</f>
        <v>-275574520.669295</v>
      </c>
      <c r="E11" s="11" t="n">
        <f aca="false">MAX(0,E10-D11)</f>
        <v>6399452757.76474</v>
      </c>
      <c r="F11" s="11" t="n">
        <f aca="false">Assumptions!$B$12</f>
        <v>345942649.458217</v>
      </c>
      <c r="G11" s="11" t="n">
        <f aca="false">Assumptions!$B$13</f>
        <v>360000000</v>
      </c>
      <c r="H11" s="24" t="n">
        <f aca="false">F11-B11-G11</f>
        <v>-14057350.5417835</v>
      </c>
      <c r="I11" s="11" t="n">
        <f aca="false">I10+F11</f>
        <v>2767541195.66573</v>
      </c>
    </row>
    <row r="12" customFormat="false" ht="15.75" hidden="false" customHeight="true" outlineLevel="0" collapsed="false">
      <c r="A12" s="23" t="n">
        <v>9</v>
      </c>
      <c r="B12" s="11" t="n">
        <f aca="false">Assumptions!$B$11</f>
        <v>0</v>
      </c>
      <c r="C12" s="11" t="n">
        <f aca="false">E11*Assumptions!$B$6</f>
        <v>287975374.099413</v>
      </c>
      <c r="D12" s="11" t="n">
        <f aca="false">B12-C12</f>
        <v>-287975374.099413</v>
      </c>
      <c r="E12" s="11" t="n">
        <f aca="false">MAX(0,E11-D12)</f>
        <v>6687428131.86415</v>
      </c>
      <c r="F12" s="11" t="n">
        <f aca="false">Assumptions!$B$12</f>
        <v>345942649.458217</v>
      </c>
      <c r="G12" s="11" t="n">
        <f aca="false">Assumptions!$B$13</f>
        <v>360000000</v>
      </c>
      <c r="H12" s="24" t="n">
        <f aca="false">F12-B12-G12</f>
        <v>-14057350.5417835</v>
      </c>
      <c r="I12" s="11" t="n">
        <f aca="false">I11+F12</f>
        <v>3113483845.12395</v>
      </c>
    </row>
    <row r="13" customFormat="false" ht="15.75" hidden="false" customHeight="true" outlineLevel="0" collapsed="false">
      <c r="A13" s="23" t="n">
        <v>10</v>
      </c>
      <c r="B13" s="11" t="n">
        <f aca="false">Assumptions!$B$11</f>
        <v>0</v>
      </c>
      <c r="C13" s="11" t="n">
        <f aca="false">E12*Assumptions!$B$6</f>
        <v>300934265.933887</v>
      </c>
      <c r="D13" s="11" t="n">
        <f aca="false">B13-C13</f>
        <v>-300934265.933887</v>
      </c>
      <c r="E13" s="11" t="n">
        <f aca="false">MAX(0,E12-D13)</f>
        <v>6988362397.79804</v>
      </c>
      <c r="F13" s="11" t="n">
        <f aca="false">Assumptions!$B$12</f>
        <v>345942649.458217</v>
      </c>
      <c r="G13" s="11" t="n">
        <f aca="false">Assumptions!$B$13</f>
        <v>360000000</v>
      </c>
      <c r="H13" s="24" t="n">
        <f aca="false">F13-B13-G13</f>
        <v>-14057350.5417835</v>
      </c>
      <c r="I13" s="11" t="n">
        <f aca="false">I12+F13</f>
        <v>3459426494.58217</v>
      </c>
    </row>
    <row r="14" customFormat="false" ht="15.75" hidden="false" customHeight="true" outlineLevel="0" collapsed="false">
      <c r="A14" s="23" t="n">
        <v>11</v>
      </c>
      <c r="B14" s="11" t="n">
        <f aca="false">Assumptions!$B$11</f>
        <v>0</v>
      </c>
      <c r="C14" s="11" t="n">
        <f aca="false">E13*Assumptions!$B$6</f>
        <v>314476307.900912</v>
      </c>
      <c r="D14" s="11" t="n">
        <f aca="false">B14-C14</f>
        <v>-314476307.900912</v>
      </c>
      <c r="E14" s="11" t="n">
        <f aca="false">MAX(0,E13-D14)</f>
        <v>7302838705.69895</v>
      </c>
      <c r="F14" s="11" t="n">
        <f aca="false">Assumptions!$B$12</f>
        <v>345942649.458217</v>
      </c>
      <c r="G14" s="11" t="n">
        <f aca="false">Assumptions!$B$13</f>
        <v>360000000</v>
      </c>
      <c r="H14" s="24" t="n">
        <f aca="false">F14-B14-G14</f>
        <v>-14057350.5417835</v>
      </c>
      <c r="I14" s="11" t="n">
        <f aca="false">I13+F14</f>
        <v>3805369144.04038</v>
      </c>
    </row>
    <row r="15" customFormat="false" ht="15.75" hidden="false" customHeight="true" outlineLevel="0" collapsed="false">
      <c r="A15" s="23" t="n">
        <v>12</v>
      </c>
      <c r="B15" s="11" t="n">
        <f aca="false">Assumptions!$B$11</f>
        <v>0</v>
      </c>
      <c r="C15" s="11" t="n">
        <f aca="false">E14*Assumptions!$B$6</f>
        <v>328627741.756453</v>
      </c>
      <c r="D15" s="11" t="n">
        <f aca="false">B15-C15</f>
        <v>-328627741.756453</v>
      </c>
      <c r="E15" s="11" t="n">
        <f aca="false">MAX(0,E14-D15)</f>
        <v>7631466447.4554</v>
      </c>
      <c r="F15" s="11" t="n">
        <f aca="false">Assumptions!$B$12</f>
        <v>345942649.458217</v>
      </c>
      <c r="G15" s="11" t="n">
        <f aca="false">Assumptions!$B$13</f>
        <v>360000000</v>
      </c>
      <c r="H15" s="24" t="n">
        <f aca="false">F15-B15-G15</f>
        <v>-14057350.5417835</v>
      </c>
      <c r="I15" s="11" t="n">
        <f aca="false">I14+F15</f>
        <v>4151311793.4986</v>
      </c>
    </row>
    <row r="16" customFormat="false" ht="15.75" hidden="false" customHeight="true" outlineLevel="0" collapsed="false">
      <c r="A16" s="23" t="n">
        <v>13</v>
      </c>
      <c r="B16" s="11" t="n">
        <f aca="false">Assumptions!$B$11</f>
        <v>0</v>
      </c>
      <c r="C16" s="11" t="n">
        <f aca="false">E15*Assumptions!$B$6</f>
        <v>343415990.135493</v>
      </c>
      <c r="D16" s="11" t="n">
        <f aca="false">B16-C16</f>
        <v>-343415990.135493</v>
      </c>
      <c r="E16" s="11" t="n">
        <f aca="false">MAX(0,E15-D16)</f>
        <v>7974882437.59089</v>
      </c>
      <c r="F16" s="11" t="n">
        <f aca="false">Assumptions!$B$12</f>
        <v>345942649.458217</v>
      </c>
      <c r="G16" s="11" t="n">
        <f aca="false">Assumptions!$B$13</f>
        <v>360000000</v>
      </c>
      <c r="H16" s="24" t="n">
        <f aca="false">F16-B16-G16</f>
        <v>-14057350.5417835</v>
      </c>
      <c r="I16" s="11" t="n">
        <f aca="false">I15+F16</f>
        <v>4497254442.95682</v>
      </c>
    </row>
    <row r="17" customFormat="false" ht="15.75" hidden="false" customHeight="true" outlineLevel="0" collapsed="false">
      <c r="A17" s="23" t="n">
        <v>14</v>
      </c>
      <c r="B17" s="11" t="n">
        <f aca="false">Assumptions!$B$11</f>
        <v>0</v>
      </c>
      <c r="C17" s="11" t="n">
        <f aca="false">E16*Assumptions!$B$6</f>
        <v>358869709.69159</v>
      </c>
      <c r="D17" s="11" t="n">
        <f aca="false">B17-C17</f>
        <v>-358869709.69159</v>
      </c>
      <c r="E17" s="11" t="n">
        <f aca="false">MAX(0,E16-D17)</f>
        <v>8333752147.28248</v>
      </c>
      <c r="F17" s="11" t="n">
        <f aca="false">Assumptions!$B$12</f>
        <v>345942649.458217</v>
      </c>
      <c r="G17" s="11" t="n">
        <f aca="false">Assumptions!$B$13</f>
        <v>360000000</v>
      </c>
      <c r="H17" s="24" t="n">
        <f aca="false">F17-B17-G17</f>
        <v>-14057350.5417835</v>
      </c>
      <c r="I17" s="11" t="n">
        <f aca="false">I16+F17</f>
        <v>4843197092.41503</v>
      </c>
    </row>
    <row r="18" customFormat="false" ht="15.75" hidden="false" customHeight="true" outlineLevel="0" collapsed="false">
      <c r="A18" s="23" t="n">
        <v>15</v>
      </c>
      <c r="B18" s="11" t="n">
        <f aca="false">Assumptions!$B$11</f>
        <v>0</v>
      </c>
      <c r="C18" s="11" t="n">
        <f aca="false">E17*Assumptions!$B$6</f>
        <v>375018846.627712</v>
      </c>
      <c r="D18" s="11" t="n">
        <f aca="false">B18-C18</f>
        <v>-375018846.627712</v>
      </c>
      <c r="E18" s="11" t="n">
        <f aca="false">MAX(0,E17-D18)</f>
        <v>8708770993.9102</v>
      </c>
      <c r="F18" s="11" t="n">
        <f aca="false">Assumptions!$B$12</f>
        <v>345942649.458217</v>
      </c>
      <c r="G18" s="11" t="n">
        <f aca="false">Assumptions!$B$13</f>
        <v>360000000</v>
      </c>
      <c r="H18" s="24" t="n">
        <f aca="false">F18-B18-G18</f>
        <v>-14057350.5417835</v>
      </c>
      <c r="I18" s="11" t="n">
        <f aca="false">I17+F18</f>
        <v>5189139741.87325</v>
      </c>
    </row>
    <row r="19" customFormat="false" ht="15.75" hidden="false" customHeight="true" outlineLevel="0" collapsed="false">
      <c r="A19" s="23" t="n">
        <v>16</v>
      </c>
      <c r="B19" s="11" t="n">
        <f aca="false">Assumptions!$B$11</f>
        <v>0</v>
      </c>
      <c r="C19" s="11" t="n">
        <f aca="false">E18*Assumptions!$B$6</f>
        <v>391894694.725959</v>
      </c>
      <c r="D19" s="11" t="n">
        <f aca="false">B19-C19</f>
        <v>-391894694.725959</v>
      </c>
      <c r="E19" s="11" t="n">
        <f aca="false">MAX(0,E18-D19)</f>
        <v>9100665688.63615</v>
      </c>
      <c r="F19" s="11" t="n">
        <f aca="false">Assumptions!$B$12</f>
        <v>345942649.458217</v>
      </c>
      <c r="G19" s="11" t="n">
        <f aca="false">Assumptions!$B$13</f>
        <v>360000000</v>
      </c>
      <c r="H19" s="24" t="n">
        <f aca="false">F19-B19-G19</f>
        <v>-14057350.5417835</v>
      </c>
      <c r="I19" s="11" t="n">
        <f aca="false">I18+F19</f>
        <v>5535082391.33147</v>
      </c>
    </row>
    <row r="20" customFormat="false" ht="15.75" hidden="false" customHeight="true" outlineLevel="0" collapsed="false">
      <c r="A20" s="23" t="n">
        <v>17</v>
      </c>
      <c r="B20" s="11" t="n">
        <f aca="false">Assumptions!$B$11</f>
        <v>0</v>
      </c>
      <c r="C20" s="11" t="n">
        <f aca="false">E19*Assumptions!$B$6</f>
        <v>409529955.988627</v>
      </c>
      <c r="D20" s="11" t="n">
        <f aca="false">B20-C20</f>
        <v>-409529955.988627</v>
      </c>
      <c r="E20" s="11" t="n">
        <f aca="false">MAX(0,E19-D20)</f>
        <v>9510195644.62478</v>
      </c>
      <c r="F20" s="11" t="n">
        <f aca="false">Assumptions!$B$12</f>
        <v>345942649.458217</v>
      </c>
      <c r="G20" s="11" t="n">
        <f aca="false">Assumptions!$B$13</f>
        <v>360000000</v>
      </c>
      <c r="H20" s="24" t="n">
        <f aca="false">F20-B20-G20</f>
        <v>-14057350.5417835</v>
      </c>
      <c r="I20" s="11" t="n">
        <f aca="false">I19+F20</f>
        <v>5881025040.78968</v>
      </c>
    </row>
    <row r="21" customFormat="false" ht="15.75" hidden="false" customHeight="true" outlineLevel="0" collapsed="false">
      <c r="A21" s="23" t="n">
        <v>18</v>
      </c>
      <c r="B21" s="11" t="n">
        <f aca="false">Assumptions!$B$11</f>
        <v>0</v>
      </c>
      <c r="C21" s="11" t="n">
        <f aca="false">E20*Assumptions!$B$6</f>
        <v>427958804.008115</v>
      </c>
      <c r="D21" s="11" t="n">
        <f aca="false">B21-C21</f>
        <v>-427958804.008115</v>
      </c>
      <c r="E21" s="11" t="n">
        <f aca="false">MAX(0,E20-D21)</f>
        <v>9938154448.6329</v>
      </c>
      <c r="F21" s="11" t="n">
        <f aca="false">Assumptions!$B$12</f>
        <v>345942649.458217</v>
      </c>
      <c r="G21" s="11" t="n">
        <f aca="false">Assumptions!$B$13</f>
        <v>360000000</v>
      </c>
      <c r="H21" s="24" t="n">
        <f aca="false">F21-B21-G21</f>
        <v>-14057350.5417835</v>
      </c>
      <c r="I21" s="11" t="n">
        <f aca="false">I20+F21</f>
        <v>6226967690.2479</v>
      </c>
    </row>
    <row r="22" customFormat="false" ht="15.75" hidden="false" customHeight="true" outlineLevel="0" collapsed="false">
      <c r="A22" s="23" t="n">
        <v>19</v>
      </c>
      <c r="B22" s="11" t="n">
        <f aca="false">Assumptions!$B$11</f>
        <v>0</v>
      </c>
      <c r="C22" s="11" t="n">
        <f aca="false">E21*Assumptions!$B$6</f>
        <v>447216950.18848</v>
      </c>
      <c r="D22" s="11" t="n">
        <f aca="false">B22-C22</f>
        <v>-447216950.18848</v>
      </c>
      <c r="E22" s="11" t="n">
        <f aca="false">MAX(0,E21-D22)</f>
        <v>10385371398.8214</v>
      </c>
      <c r="F22" s="11" t="n">
        <f aca="false">Assumptions!$B$12</f>
        <v>345942649.458217</v>
      </c>
      <c r="G22" s="11" t="n">
        <f aca="false">Assumptions!$B$13</f>
        <v>360000000</v>
      </c>
      <c r="H22" s="24" t="n">
        <f aca="false">F22-B22-G22</f>
        <v>-14057350.5417835</v>
      </c>
      <c r="I22" s="11" t="n">
        <f aca="false">I21+F22</f>
        <v>6572910339.70612</v>
      </c>
    </row>
    <row r="23" customFormat="false" ht="15.75" hidden="false" customHeight="true" outlineLevel="0" collapsed="false">
      <c r="A23" s="23" t="n">
        <v>20</v>
      </c>
      <c r="B23" s="11" t="n">
        <f aca="false">Assumptions!$B$11</f>
        <v>0</v>
      </c>
      <c r="C23" s="11" t="n">
        <f aca="false">E22*Assumptions!$B$6</f>
        <v>467341712.946962</v>
      </c>
      <c r="D23" s="11" t="n">
        <f aca="false">B23-C23</f>
        <v>-467341712.946962</v>
      </c>
      <c r="E23" s="11" t="n">
        <f aca="false">MAX(0,E22-D23)</f>
        <v>10852713111.7683</v>
      </c>
      <c r="F23" s="11" t="n">
        <f aca="false">Assumptions!$B$12</f>
        <v>345942649.458217</v>
      </c>
      <c r="G23" s="11" t="n">
        <f aca="false">Assumptions!$B$13</f>
        <v>360000000</v>
      </c>
      <c r="H23" s="24" t="n">
        <f aca="false">F23-B23-G23</f>
        <v>-14057350.5417835</v>
      </c>
      <c r="I23" s="11" t="n">
        <f aca="false">I22+F23</f>
        <v>6918852989.16433</v>
      </c>
    </row>
    <row r="24" customFormat="false" ht="18" hidden="false" customHeight="true" outlineLevel="0" collapsed="false">
      <c r="A24" s="25" t="s">
        <v>82</v>
      </c>
      <c r="B24" s="26" t="n">
        <f aca="false">SUM(B4:B23)</f>
        <v>0</v>
      </c>
      <c r="C24" s="26" t="n">
        <f aca="false">SUM(C4:C23)</f>
        <v>6352713111.76834</v>
      </c>
      <c r="D24" s="26" t="n">
        <f aca="false">SUM(D4:D23)</f>
        <v>-6352713111.76834</v>
      </c>
      <c r="E24" s="26" t="s">
        <v>83</v>
      </c>
      <c r="F24" s="26" t="n">
        <f aca="false">SUM(F4:F23)</f>
        <v>6918852989.16433</v>
      </c>
      <c r="G24" s="26" t="n">
        <f aca="false">SUM(G4:G23)</f>
        <v>7200000000</v>
      </c>
      <c r="H24" s="26" t="n">
        <f aca="false">SUM(H4:H23)</f>
        <v>-281147010.835669</v>
      </c>
      <c r="I24" s="26" t="n">
        <f aca="false">SUM(I4:I23)</f>
        <v>72647956386.2255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34.5" hidden="false" customHeight="true" outlineLevel="0" collapsed="false">
      <c r="A1" s="21" t="s">
        <v>84</v>
      </c>
      <c r="B1" s="21"/>
      <c r="C1" s="21"/>
      <c r="D1" s="21"/>
      <c r="E1" s="21"/>
    </row>
    <row r="2" customFormat="false" ht="21.75" hidden="false" customHeight="true" outlineLevel="0" collapsed="false">
      <c r="A2" s="3" t="s">
        <v>85</v>
      </c>
      <c r="B2" s="3"/>
      <c r="C2" s="3"/>
      <c r="D2" s="3"/>
      <c r="E2" s="3"/>
    </row>
    <row r="3" customFormat="false" ht="27.75" hidden="false" customHeight="true" outlineLevel="0" collapsed="false">
      <c r="A3" s="22" t="s">
        <v>73</v>
      </c>
      <c r="B3" s="22" t="s">
        <v>86</v>
      </c>
      <c r="C3" s="22" t="s">
        <v>87</v>
      </c>
      <c r="D3" s="22" t="s">
        <v>88</v>
      </c>
      <c r="E3" s="22" t="s">
        <v>89</v>
      </c>
    </row>
    <row r="4" customFormat="false" ht="15" hidden="false" customHeight="true" outlineLevel="0" collapsed="false">
      <c r="A4" s="23" t="n">
        <v>1</v>
      </c>
      <c r="B4" s="11" t="n">
        <f aca="false">IF(1&lt;=Assumptions!$B$7,MAX(0,'Bond Cashflows'!H4),0)</f>
        <v>0</v>
      </c>
      <c r="C4" s="27" t="n">
        <f aca="false">0*(1+Assumptions!$B$25)+B4</f>
        <v>0</v>
      </c>
      <c r="D4" s="12" t="n">
        <f aca="false">Assumptions!$B$25</f>
        <v>0.067</v>
      </c>
      <c r="E4" s="28" t="n">
        <f aca="false">C4/5600000000</f>
        <v>0</v>
      </c>
    </row>
    <row r="5" customFormat="false" ht="15" hidden="false" customHeight="true" outlineLevel="0" collapsed="false">
      <c r="A5" s="23" t="n">
        <v>2</v>
      </c>
      <c r="B5" s="11" t="n">
        <f aca="false">IF(2&lt;=Assumptions!$B$7,MAX(0,'Bond Cashflows'!H5),0)</f>
        <v>0</v>
      </c>
      <c r="C5" s="27" t="n">
        <f aca="false">C4*(1+Assumptions!$B$25)+B5</f>
        <v>0</v>
      </c>
      <c r="D5" s="12" t="n">
        <f aca="false">Assumptions!$B$25</f>
        <v>0.067</v>
      </c>
      <c r="E5" s="28" t="n">
        <f aca="false">C5/5600000000</f>
        <v>0</v>
      </c>
    </row>
    <row r="6" customFormat="false" ht="15" hidden="false" customHeight="true" outlineLevel="0" collapsed="false">
      <c r="A6" s="23" t="n">
        <v>3</v>
      </c>
      <c r="B6" s="11" t="n">
        <f aca="false">IF(3&lt;=Assumptions!$B$7,MAX(0,'Bond Cashflows'!H6),0)</f>
        <v>0</v>
      </c>
      <c r="C6" s="27" t="n">
        <f aca="false">C5*(1+Assumptions!$B$25)+B6</f>
        <v>0</v>
      </c>
      <c r="D6" s="12" t="n">
        <f aca="false">Assumptions!$B$25</f>
        <v>0.067</v>
      </c>
      <c r="E6" s="28" t="n">
        <f aca="false">C6/5600000000</f>
        <v>0</v>
      </c>
    </row>
    <row r="7" customFormat="false" ht="15" hidden="false" customHeight="true" outlineLevel="0" collapsed="false">
      <c r="A7" s="23" t="n">
        <v>4</v>
      </c>
      <c r="B7" s="11" t="n">
        <f aca="false">IF(4&lt;=Assumptions!$B$7,MAX(0,'Bond Cashflows'!H7),0)</f>
        <v>0</v>
      </c>
      <c r="C7" s="27" t="n">
        <f aca="false">C6*(1+Assumptions!$B$25)+B7</f>
        <v>0</v>
      </c>
      <c r="D7" s="12" t="n">
        <f aca="false">Assumptions!$B$25</f>
        <v>0.067</v>
      </c>
      <c r="E7" s="28" t="n">
        <f aca="false">C7/5600000000</f>
        <v>0</v>
      </c>
    </row>
    <row r="8" customFormat="false" ht="15" hidden="false" customHeight="true" outlineLevel="0" collapsed="false">
      <c r="A8" s="23" t="n">
        <v>5</v>
      </c>
      <c r="B8" s="11" t="n">
        <f aca="false">IF(5&lt;=Assumptions!$B$7,MAX(0,'Bond Cashflows'!H8),0)</f>
        <v>0</v>
      </c>
      <c r="C8" s="27" t="n">
        <f aca="false">C7*(1+Assumptions!$B$25)+B8</f>
        <v>0</v>
      </c>
      <c r="D8" s="12" t="n">
        <f aca="false">Assumptions!$B$25</f>
        <v>0.067</v>
      </c>
      <c r="E8" s="28" t="n">
        <f aca="false">C8/5600000000</f>
        <v>0</v>
      </c>
    </row>
    <row r="9" customFormat="false" ht="15" hidden="false" customHeight="true" outlineLevel="0" collapsed="false">
      <c r="A9" s="23" t="n">
        <v>6</v>
      </c>
      <c r="B9" s="11" t="n">
        <f aca="false">IF(6&lt;=Assumptions!$B$7,MAX(0,'Bond Cashflows'!H9),0)</f>
        <v>0</v>
      </c>
      <c r="C9" s="27" t="n">
        <f aca="false">C8*(1+Assumptions!$B$25)+B9</f>
        <v>0</v>
      </c>
      <c r="D9" s="12" t="n">
        <f aca="false">Assumptions!$B$25</f>
        <v>0.067</v>
      </c>
      <c r="E9" s="28" t="n">
        <f aca="false">C9/5600000000</f>
        <v>0</v>
      </c>
    </row>
    <row r="10" customFormat="false" ht="15" hidden="false" customHeight="true" outlineLevel="0" collapsed="false">
      <c r="A10" s="23" t="n">
        <v>7</v>
      </c>
      <c r="B10" s="11" t="n">
        <f aca="false">IF(7&lt;=Assumptions!$B$7,MAX(0,'Bond Cashflows'!H10),0)</f>
        <v>0</v>
      </c>
      <c r="C10" s="27" t="n">
        <f aca="false">C9*(1+Assumptions!$B$25)+B10</f>
        <v>0</v>
      </c>
      <c r="D10" s="12" t="n">
        <f aca="false">Assumptions!$B$25</f>
        <v>0.067</v>
      </c>
      <c r="E10" s="28" t="n">
        <f aca="false">C10/5600000000</f>
        <v>0</v>
      </c>
    </row>
    <row r="11" customFormat="false" ht="15" hidden="false" customHeight="true" outlineLevel="0" collapsed="false">
      <c r="A11" s="23" t="n">
        <v>8</v>
      </c>
      <c r="B11" s="11" t="n">
        <f aca="false">IF(8&lt;=Assumptions!$B$7,MAX(0,'Bond Cashflows'!H11),0)</f>
        <v>0</v>
      </c>
      <c r="C11" s="27" t="n">
        <f aca="false">C10*(1+Assumptions!$B$25)+B11</f>
        <v>0</v>
      </c>
      <c r="D11" s="12" t="n">
        <f aca="false">Assumptions!$B$25</f>
        <v>0.067</v>
      </c>
      <c r="E11" s="28" t="n">
        <f aca="false">C11/5600000000</f>
        <v>0</v>
      </c>
    </row>
    <row r="12" customFormat="false" ht="15" hidden="false" customHeight="true" outlineLevel="0" collapsed="false">
      <c r="A12" s="23" t="n">
        <v>9</v>
      </c>
      <c r="B12" s="11" t="n">
        <f aca="false">IF(9&lt;=Assumptions!$B$7,MAX(0,'Bond Cashflows'!H12),0)</f>
        <v>0</v>
      </c>
      <c r="C12" s="27" t="n">
        <f aca="false">C11*(1+Assumptions!$B$25)+B12</f>
        <v>0</v>
      </c>
      <c r="D12" s="12" t="n">
        <f aca="false">Assumptions!$B$25</f>
        <v>0.067</v>
      </c>
      <c r="E12" s="28" t="n">
        <f aca="false">C12/5600000000</f>
        <v>0</v>
      </c>
    </row>
    <row r="13" customFormat="false" ht="15" hidden="false" customHeight="true" outlineLevel="0" collapsed="false">
      <c r="A13" s="23" t="n">
        <v>10</v>
      </c>
      <c r="B13" s="11" t="n">
        <f aca="false">IF(10&lt;=Assumptions!$B$7,MAX(0,'Bond Cashflows'!H13),0)</f>
        <v>0</v>
      </c>
      <c r="C13" s="27" t="n">
        <f aca="false">C12*(1+Assumptions!$B$25)+B13</f>
        <v>0</v>
      </c>
      <c r="D13" s="12" t="n">
        <f aca="false">Assumptions!$B$25</f>
        <v>0.067</v>
      </c>
      <c r="E13" s="28" t="n">
        <f aca="false">C13/5600000000</f>
        <v>0</v>
      </c>
    </row>
    <row r="14" customFormat="false" ht="15" hidden="false" customHeight="true" outlineLevel="0" collapsed="false">
      <c r="A14" s="23" t="n">
        <v>11</v>
      </c>
      <c r="B14" s="11" t="n">
        <f aca="false">IF(11&lt;=Assumptions!$B$7,MAX(0,'Bond Cashflows'!H14),0)</f>
        <v>0</v>
      </c>
      <c r="C14" s="27" t="n">
        <f aca="false">C13*(1+Assumptions!$B$25)+B14</f>
        <v>0</v>
      </c>
      <c r="D14" s="12" t="n">
        <f aca="false">Assumptions!$B$25</f>
        <v>0.067</v>
      </c>
      <c r="E14" s="28" t="n">
        <f aca="false">C14/5600000000</f>
        <v>0</v>
      </c>
    </row>
    <row r="15" customFormat="false" ht="15" hidden="false" customHeight="true" outlineLevel="0" collapsed="false">
      <c r="A15" s="23" t="n">
        <v>12</v>
      </c>
      <c r="B15" s="11" t="n">
        <f aca="false">IF(12&lt;=Assumptions!$B$7,MAX(0,'Bond Cashflows'!H15),0)</f>
        <v>0</v>
      </c>
      <c r="C15" s="27" t="n">
        <f aca="false">C14*(1+Assumptions!$B$25)+B15</f>
        <v>0</v>
      </c>
      <c r="D15" s="12" t="n">
        <f aca="false">Assumptions!$B$25</f>
        <v>0.067</v>
      </c>
      <c r="E15" s="28" t="n">
        <f aca="false">C15/5600000000</f>
        <v>0</v>
      </c>
    </row>
    <row r="16" customFormat="false" ht="15" hidden="false" customHeight="true" outlineLevel="0" collapsed="false">
      <c r="A16" s="23" t="n">
        <v>13</v>
      </c>
      <c r="B16" s="11" t="n">
        <f aca="false">IF(13&lt;=Assumptions!$B$7,MAX(0,'Bond Cashflows'!H16),0)</f>
        <v>0</v>
      </c>
      <c r="C16" s="27" t="n">
        <f aca="false">C15*(1+Assumptions!$B$25)+B16</f>
        <v>0</v>
      </c>
      <c r="D16" s="12" t="n">
        <f aca="false">Assumptions!$B$25</f>
        <v>0.067</v>
      </c>
      <c r="E16" s="28" t="n">
        <f aca="false">C16/5600000000</f>
        <v>0</v>
      </c>
    </row>
    <row r="17" customFormat="false" ht="15" hidden="false" customHeight="true" outlineLevel="0" collapsed="false">
      <c r="A17" s="23" t="n">
        <v>14</v>
      </c>
      <c r="B17" s="11" t="n">
        <f aca="false">IF(14&lt;=Assumptions!$B$7,MAX(0,'Bond Cashflows'!H17),0)</f>
        <v>0</v>
      </c>
      <c r="C17" s="27" t="n">
        <f aca="false">C16*(1+Assumptions!$B$25)+B17</f>
        <v>0</v>
      </c>
      <c r="D17" s="12" t="n">
        <f aca="false">Assumptions!$B$25</f>
        <v>0.067</v>
      </c>
      <c r="E17" s="28" t="n">
        <f aca="false">C17/5600000000</f>
        <v>0</v>
      </c>
    </row>
    <row r="18" customFormat="false" ht="15" hidden="false" customHeight="true" outlineLevel="0" collapsed="false">
      <c r="A18" s="23" t="n">
        <v>15</v>
      </c>
      <c r="B18" s="11" t="n">
        <f aca="false">IF(15&lt;=Assumptions!$B$7,MAX(0,'Bond Cashflows'!H18),0)</f>
        <v>0</v>
      </c>
      <c r="C18" s="27" t="n">
        <f aca="false">C17*(1+Assumptions!$B$25)+B18</f>
        <v>0</v>
      </c>
      <c r="D18" s="12" t="n">
        <f aca="false">Assumptions!$B$25</f>
        <v>0.067</v>
      </c>
      <c r="E18" s="28" t="n">
        <f aca="false">C18/5600000000</f>
        <v>0</v>
      </c>
    </row>
    <row r="19" customFormat="false" ht="15" hidden="false" customHeight="true" outlineLevel="0" collapsed="false">
      <c r="A19" s="23" t="n">
        <v>16</v>
      </c>
      <c r="B19" s="11" t="n">
        <f aca="false">IF(16&lt;=Assumptions!$B$7,MAX(0,'Bond Cashflows'!H19),0)</f>
        <v>0</v>
      </c>
      <c r="C19" s="27" t="n">
        <f aca="false">C18*(1+Assumptions!$B$25)+B19</f>
        <v>0</v>
      </c>
      <c r="D19" s="12" t="n">
        <f aca="false">Assumptions!$B$25</f>
        <v>0.067</v>
      </c>
      <c r="E19" s="28" t="n">
        <f aca="false">C19/5600000000</f>
        <v>0</v>
      </c>
    </row>
    <row r="20" customFormat="false" ht="15" hidden="false" customHeight="true" outlineLevel="0" collapsed="false">
      <c r="A20" s="23" t="n">
        <v>17</v>
      </c>
      <c r="B20" s="11" t="n">
        <f aca="false">IF(17&lt;=Assumptions!$B$7,MAX(0,'Bond Cashflows'!H20),0)</f>
        <v>0</v>
      </c>
      <c r="C20" s="27" t="n">
        <f aca="false">C19*(1+Assumptions!$B$25)+B20</f>
        <v>0</v>
      </c>
      <c r="D20" s="12" t="n">
        <f aca="false">Assumptions!$B$25</f>
        <v>0.067</v>
      </c>
      <c r="E20" s="28" t="n">
        <f aca="false">C20/5600000000</f>
        <v>0</v>
      </c>
    </row>
    <row r="21" customFormat="false" ht="15" hidden="false" customHeight="true" outlineLevel="0" collapsed="false">
      <c r="A21" s="23" t="n">
        <v>18</v>
      </c>
      <c r="B21" s="11" t="n">
        <f aca="false">IF(18&lt;=Assumptions!$B$7,MAX(0,'Bond Cashflows'!H21),0)</f>
        <v>0</v>
      </c>
      <c r="C21" s="27" t="n">
        <f aca="false">C20*(1+Assumptions!$B$25)+B21</f>
        <v>0</v>
      </c>
      <c r="D21" s="12" t="n">
        <f aca="false">Assumptions!$B$25</f>
        <v>0.067</v>
      </c>
      <c r="E21" s="28" t="n">
        <f aca="false">C21/5600000000</f>
        <v>0</v>
      </c>
    </row>
    <row r="22" customFormat="false" ht="15" hidden="false" customHeight="true" outlineLevel="0" collapsed="false">
      <c r="A22" s="23" t="n">
        <v>19</v>
      </c>
      <c r="B22" s="11" t="n">
        <f aca="false">IF(19&lt;=Assumptions!$B$7,MAX(0,'Bond Cashflows'!H22),0)</f>
        <v>0</v>
      </c>
      <c r="C22" s="27" t="n">
        <f aca="false">C21*(1+Assumptions!$B$25)+B22</f>
        <v>0</v>
      </c>
      <c r="D22" s="12" t="n">
        <f aca="false">Assumptions!$B$25</f>
        <v>0.067</v>
      </c>
      <c r="E22" s="28" t="n">
        <f aca="false">C22/5600000000</f>
        <v>0</v>
      </c>
    </row>
    <row r="23" customFormat="false" ht="15" hidden="false" customHeight="true" outlineLevel="0" collapsed="false">
      <c r="A23" s="23" t="n">
        <v>20</v>
      </c>
      <c r="B23" s="11" t="n">
        <f aca="false">IF(20&lt;=Assumptions!$B$7,MAX(0,'Bond Cashflows'!H23),0)</f>
        <v>0</v>
      </c>
      <c r="C23" s="27" t="n">
        <f aca="false">C22*(1+Assumptions!$B$25)+B23</f>
        <v>0</v>
      </c>
      <c r="D23" s="12" t="n">
        <f aca="false">Assumptions!$B$25</f>
        <v>0.067</v>
      </c>
      <c r="E23" s="28" t="n">
        <f aca="false">C23/5600000000</f>
        <v>0</v>
      </c>
    </row>
    <row r="24" customFormat="false" ht="15" hidden="false" customHeight="true" outlineLevel="0" collapsed="false">
      <c r="A24" s="23" t="n">
        <v>21</v>
      </c>
      <c r="B24" s="11" t="n">
        <f aca="false">IF(21&lt;=Assumptions!$B$7,MAX(0,'Bond Cashflows'!H24),0)</f>
        <v>0</v>
      </c>
      <c r="C24" s="27" t="n">
        <f aca="false">C23*(1+Assumptions!$B$25)+B24</f>
        <v>0</v>
      </c>
      <c r="D24" s="12" t="n">
        <f aca="false">Assumptions!$B$25</f>
        <v>0.067</v>
      </c>
      <c r="E24" s="28" t="n">
        <f aca="false">C24/5600000000</f>
        <v>0</v>
      </c>
    </row>
    <row r="25" customFormat="false" ht="15" hidden="false" customHeight="true" outlineLevel="0" collapsed="false">
      <c r="A25" s="23" t="n">
        <v>22</v>
      </c>
      <c r="B25" s="11" t="n">
        <f aca="false">IF(22&lt;=Assumptions!$B$7,MAX(0,'Bond Cashflows'!H25),0)</f>
        <v>0</v>
      </c>
      <c r="C25" s="27" t="n">
        <f aca="false">C24*(1+Assumptions!$B$25)+B25</f>
        <v>0</v>
      </c>
      <c r="D25" s="12" t="n">
        <f aca="false">Assumptions!$B$25</f>
        <v>0.067</v>
      </c>
      <c r="E25" s="28" t="n">
        <f aca="false">C25/5600000000</f>
        <v>0</v>
      </c>
    </row>
    <row r="26" customFormat="false" ht="15" hidden="false" customHeight="true" outlineLevel="0" collapsed="false">
      <c r="A26" s="23" t="n">
        <v>23</v>
      </c>
      <c r="B26" s="11" t="n">
        <f aca="false">IF(23&lt;=Assumptions!$B$7,MAX(0,'Bond Cashflows'!H26),0)</f>
        <v>0</v>
      </c>
      <c r="C26" s="27" t="n">
        <f aca="false">C25*(1+Assumptions!$B$25)+B26</f>
        <v>0</v>
      </c>
      <c r="D26" s="12" t="n">
        <f aca="false">Assumptions!$B$25</f>
        <v>0.067</v>
      </c>
      <c r="E26" s="28" t="n">
        <f aca="false">C26/5600000000</f>
        <v>0</v>
      </c>
    </row>
    <row r="27" customFormat="false" ht="15" hidden="false" customHeight="true" outlineLevel="0" collapsed="false">
      <c r="A27" s="23" t="n">
        <v>24</v>
      </c>
      <c r="B27" s="11" t="n">
        <f aca="false">IF(24&lt;=Assumptions!$B$7,MAX(0,'Bond Cashflows'!H27),0)</f>
        <v>0</v>
      </c>
      <c r="C27" s="27" t="n">
        <f aca="false">C26*(1+Assumptions!$B$25)+B27</f>
        <v>0</v>
      </c>
      <c r="D27" s="12" t="n">
        <f aca="false">Assumptions!$B$25</f>
        <v>0.067</v>
      </c>
      <c r="E27" s="28" t="n">
        <f aca="false">C27/5600000000</f>
        <v>0</v>
      </c>
    </row>
    <row r="28" customFormat="false" ht="15" hidden="false" customHeight="true" outlineLevel="0" collapsed="false">
      <c r="A28" s="23" t="n">
        <v>25</v>
      </c>
      <c r="B28" s="11" t="n">
        <f aca="false">IF(25&lt;=Assumptions!$B$7,MAX(0,'Bond Cashflows'!H28),0)</f>
        <v>0</v>
      </c>
      <c r="C28" s="27" t="n">
        <f aca="false">C27*(1+Assumptions!$B$25)+B28</f>
        <v>0</v>
      </c>
      <c r="D28" s="12" t="n">
        <f aca="false">Assumptions!$B$25</f>
        <v>0.067</v>
      </c>
      <c r="E28" s="28" t="n">
        <f aca="false">C28/5600000000</f>
        <v>0</v>
      </c>
    </row>
    <row r="30" customFormat="false" ht="18" hidden="false" customHeight="true" outlineLevel="0" collapsed="false">
      <c r="A30" s="4" t="s">
        <v>90</v>
      </c>
      <c r="B30" s="4"/>
      <c r="C30" s="4"/>
      <c r="D30" s="4"/>
      <c r="E30" s="4"/>
    </row>
    <row r="31" customFormat="false" ht="15" hidden="false" customHeight="true" outlineLevel="0" collapsed="false">
      <c r="A31" s="29" t="s">
        <v>91</v>
      </c>
      <c r="B31" s="30" t="s">
        <v>92</v>
      </c>
      <c r="C31" s="31" t="s">
        <v>93</v>
      </c>
      <c r="D31" s="31"/>
      <c r="E31" s="31"/>
    </row>
    <row r="32" customFormat="false" ht="15" hidden="false" customHeight="true" outlineLevel="0" collapsed="false">
      <c r="A32" s="29" t="s">
        <v>94</v>
      </c>
      <c r="B32" s="30" t="s">
        <v>95</v>
      </c>
      <c r="C32" s="31" t="s">
        <v>96</v>
      </c>
      <c r="D32" s="31"/>
      <c r="E32" s="31"/>
    </row>
    <row r="33" customFormat="false" ht="15" hidden="false" customHeight="true" outlineLevel="0" collapsed="false">
      <c r="A33" s="29" t="s">
        <v>97</v>
      </c>
      <c r="B33" s="30" t="s">
        <v>98</v>
      </c>
      <c r="C33" s="31" t="s">
        <v>99</v>
      </c>
      <c r="D33" s="31"/>
      <c r="E33" s="31"/>
    </row>
    <row r="34" customFormat="false" ht="15" hidden="false" customHeight="true" outlineLevel="0" collapsed="false">
      <c r="A34" s="29" t="s">
        <v>100</v>
      </c>
      <c r="B34" s="30" t="s">
        <v>101</v>
      </c>
      <c r="C34" s="31" t="s">
        <v>102</v>
      </c>
      <c r="D34" s="31"/>
      <c r="E34" s="31"/>
    </row>
    <row r="35" customFormat="false" ht="15" hidden="false" customHeight="true" outlineLevel="0" collapsed="false">
      <c r="A35" s="29" t="s">
        <v>103</v>
      </c>
      <c r="B35" s="30" t="s">
        <v>104</v>
      </c>
      <c r="C35" s="31" t="s">
        <v>105</v>
      </c>
      <c r="D35" s="31"/>
      <c r="E35" s="31"/>
    </row>
    <row r="36" customFormat="false" ht="15" hidden="false" customHeight="true" outlineLevel="0" collapsed="false">
      <c r="A36" s="29" t="s">
        <v>106</v>
      </c>
      <c r="B36" s="30" t="s">
        <v>107</v>
      </c>
      <c r="C36" s="31" t="s">
        <v>102</v>
      </c>
      <c r="D36" s="31"/>
      <c r="E36" s="31"/>
    </row>
  </sheetData>
  <mergeCells count="9">
    <mergeCell ref="A1:E1"/>
    <mergeCell ref="A2:E2"/>
    <mergeCell ref="A30:E30"/>
    <mergeCell ref="C31:E31"/>
    <mergeCell ref="C32:E32"/>
    <mergeCell ref="C33:E33"/>
    <mergeCell ref="C34:E34"/>
    <mergeCell ref="C35:E35"/>
    <mergeCell ref="C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4" min="2" style="1" width="16"/>
    <col collapsed="false" customWidth="true" hidden="false" outlineLevel="0" max="5" min="5" style="1" width="12"/>
  </cols>
  <sheetData>
    <row r="1" customFormat="false" ht="34.5" hidden="false" customHeight="true" outlineLevel="0" collapsed="false">
      <c r="A1" s="21" t="s">
        <v>108</v>
      </c>
      <c r="B1" s="21"/>
      <c r="C1" s="21"/>
      <c r="D1" s="21"/>
      <c r="E1" s="21"/>
    </row>
    <row r="2" customFormat="false" ht="18" hidden="false" customHeight="true" outlineLevel="0" collapsed="false">
      <c r="A2" s="32" t="s">
        <v>109</v>
      </c>
      <c r="B2" s="32"/>
      <c r="C2" s="32"/>
      <c r="D2" s="32"/>
      <c r="E2" s="32"/>
    </row>
    <row r="4" customFormat="false" ht="18" hidden="false" customHeight="true" outlineLevel="0" collapsed="false">
      <c r="A4" s="4" t="s">
        <v>110</v>
      </c>
      <c r="B4" s="4"/>
      <c r="C4" s="4"/>
      <c r="D4" s="4"/>
      <c r="E4" s="4"/>
    </row>
    <row r="5" customFormat="false" ht="15.75" hidden="false" customHeight="true" outlineLevel="0" collapsed="false">
      <c r="A5" s="5" t="s">
        <v>37</v>
      </c>
      <c r="B5" s="11" t="n">
        <f aca="false">Assumptions!B28</f>
        <v>900000000</v>
      </c>
    </row>
    <row r="6" customFormat="false" ht="15.75" hidden="false" customHeight="true" outlineLevel="0" collapsed="false">
      <c r="A6" s="5" t="s">
        <v>111</v>
      </c>
      <c r="B6" s="11" t="n">
        <f aca="false">Assumptions!B29</f>
        <v>40000000</v>
      </c>
    </row>
    <row r="7" customFormat="false" ht="15.75" hidden="false" customHeight="true" outlineLevel="0" collapsed="false">
      <c r="A7" s="5" t="s">
        <v>112</v>
      </c>
      <c r="B7" s="12" t="n">
        <f aca="false">Assumptions!B30</f>
        <v>0.18</v>
      </c>
    </row>
    <row r="8" customFormat="false" ht="15.75" hidden="false" customHeight="true" outlineLevel="0" collapsed="false">
      <c r="A8" s="5" t="s">
        <v>113</v>
      </c>
      <c r="B8" s="33" t="n">
        <f aca="false">Assumptions!B31</f>
        <v>9.78396965353987</v>
      </c>
    </row>
    <row r="9" customFormat="false" ht="15" hidden="false" customHeight="true" outlineLevel="0" collapsed="false">
      <c r="A9" s="7" t="s">
        <v>114</v>
      </c>
    </row>
    <row r="10" customFormat="false" ht="15" hidden="false" customHeight="true" outlineLevel="0" collapsed="false">
      <c r="A10" s="7" t="s">
        <v>115</v>
      </c>
    </row>
    <row r="12" customFormat="false" ht="24.75" hidden="false" customHeight="true" outlineLevel="0" collapsed="false">
      <c r="A12" s="22" t="s">
        <v>73</v>
      </c>
      <c r="B12" s="22" t="s">
        <v>116</v>
      </c>
      <c r="C12" s="22" t="s">
        <v>117</v>
      </c>
      <c r="D12" s="22" t="s">
        <v>118</v>
      </c>
      <c r="E12" s="22" t="s">
        <v>119</v>
      </c>
    </row>
    <row r="13" customFormat="false" ht="15" hidden="false" customHeight="true" outlineLevel="0" collapsed="false">
      <c r="A13" s="23" t="n">
        <v>1</v>
      </c>
      <c r="B13" s="11" t="n">
        <f aca="false">Assumptions!$B$29*(1+Assumptions!$B$30)^(1-1)</f>
        <v>40000000</v>
      </c>
      <c r="C13" s="11" t="n">
        <f aca="false">B13</f>
        <v>40000000</v>
      </c>
      <c r="D13" s="11" t="n">
        <f aca="false">MAX(0,Assumptions!$B$28-C13)</f>
        <v>860000000</v>
      </c>
      <c r="E13" s="34" t="str">
        <f aca="false">IF(D13=0,"✓ HEALED","—")</f>
        <v>—</v>
      </c>
    </row>
    <row r="14" customFormat="false" ht="15" hidden="false" customHeight="true" outlineLevel="0" collapsed="false">
      <c r="A14" s="23" t="n">
        <v>2</v>
      </c>
      <c r="B14" s="11" t="n">
        <f aca="false">Assumptions!$B$29*(1+Assumptions!$B$30)^(2-1)</f>
        <v>47200000</v>
      </c>
      <c r="C14" s="11" t="n">
        <f aca="false">C13+B14</f>
        <v>87200000</v>
      </c>
      <c r="D14" s="11" t="n">
        <f aca="false">MAX(0,Assumptions!$B$28-C14)</f>
        <v>812800000</v>
      </c>
      <c r="E14" s="34" t="str">
        <f aca="false">IF(D14=0,"✓ HEALED","—")</f>
        <v>—</v>
      </c>
    </row>
    <row r="15" customFormat="false" ht="15" hidden="false" customHeight="true" outlineLevel="0" collapsed="false">
      <c r="A15" s="23" t="n">
        <v>3</v>
      </c>
      <c r="B15" s="11" t="n">
        <f aca="false">Assumptions!$B$29*(1+Assumptions!$B$30)^(3-1)</f>
        <v>55696000</v>
      </c>
      <c r="C15" s="11" t="n">
        <f aca="false">C14+B15</f>
        <v>142896000</v>
      </c>
      <c r="D15" s="11" t="n">
        <f aca="false">MAX(0,Assumptions!$B$28-C15)</f>
        <v>757104000</v>
      </c>
      <c r="E15" s="34" t="str">
        <f aca="false">IF(D15=0,"✓ HEALED","—")</f>
        <v>—</v>
      </c>
    </row>
    <row r="16" customFormat="false" ht="15" hidden="false" customHeight="true" outlineLevel="0" collapsed="false">
      <c r="A16" s="23" t="n">
        <v>4</v>
      </c>
      <c r="B16" s="11" t="n">
        <f aca="false">Assumptions!$B$29*(1+Assumptions!$B$30)^(4-1)</f>
        <v>65721280</v>
      </c>
      <c r="C16" s="11" t="n">
        <f aca="false">C15+B16</f>
        <v>208617280</v>
      </c>
      <c r="D16" s="11" t="n">
        <f aca="false">MAX(0,Assumptions!$B$28-C16)</f>
        <v>691382720</v>
      </c>
      <c r="E16" s="34" t="str">
        <f aca="false">IF(D16=0,"✓ HEALED","—")</f>
        <v>—</v>
      </c>
    </row>
    <row r="17" customFormat="false" ht="15" hidden="false" customHeight="true" outlineLevel="0" collapsed="false">
      <c r="A17" s="23" t="n">
        <v>5</v>
      </c>
      <c r="B17" s="11" t="n">
        <f aca="false">Assumptions!$B$29*(1+Assumptions!$B$30)^(5-1)</f>
        <v>77551110.4</v>
      </c>
      <c r="C17" s="11" t="n">
        <f aca="false">C16+B17</f>
        <v>286168390.4</v>
      </c>
      <c r="D17" s="11" t="n">
        <f aca="false">MAX(0,Assumptions!$B$28-C17)</f>
        <v>613831609.6</v>
      </c>
      <c r="E17" s="34" t="str">
        <f aca="false">IF(D17=0,"✓ HEALED","—")</f>
        <v>—</v>
      </c>
    </row>
    <row r="18" customFormat="false" ht="15" hidden="false" customHeight="true" outlineLevel="0" collapsed="false">
      <c r="A18" s="23" t="n">
        <v>6</v>
      </c>
      <c r="B18" s="11" t="n">
        <f aca="false">Assumptions!$B$29*(1+Assumptions!$B$30)^(6-1)</f>
        <v>91510310.272</v>
      </c>
      <c r="C18" s="11" t="n">
        <f aca="false">C17+B18</f>
        <v>377678700.672</v>
      </c>
      <c r="D18" s="11" t="n">
        <f aca="false">MAX(0,Assumptions!$B$28-C18)</f>
        <v>522321299.328</v>
      </c>
      <c r="E18" s="34" t="str">
        <f aca="false">IF(D18=0,"✓ HEALED","—")</f>
        <v>—</v>
      </c>
    </row>
    <row r="19" customFormat="false" ht="15" hidden="false" customHeight="true" outlineLevel="0" collapsed="false">
      <c r="A19" s="23" t="n">
        <v>7</v>
      </c>
      <c r="B19" s="11" t="n">
        <f aca="false">Assumptions!$B$29*(1+Assumptions!$B$30)^(7-1)</f>
        <v>107982166.12096</v>
      </c>
      <c r="C19" s="11" t="n">
        <f aca="false">C18+B19</f>
        <v>485660866.79296</v>
      </c>
      <c r="D19" s="11" t="n">
        <f aca="false">MAX(0,Assumptions!$B$28-C19)</f>
        <v>414339133.20704</v>
      </c>
      <c r="E19" s="34" t="str">
        <f aca="false">IF(D19=0,"✓ HEALED","—")</f>
        <v>—</v>
      </c>
    </row>
    <row r="20" customFormat="false" ht="15" hidden="false" customHeight="true" outlineLevel="0" collapsed="false">
      <c r="A20" s="23" t="n">
        <v>8</v>
      </c>
      <c r="B20" s="11" t="n">
        <f aca="false">Assumptions!$B$29*(1+Assumptions!$B$30)^(8-1)</f>
        <v>127418956.022733</v>
      </c>
      <c r="C20" s="11" t="n">
        <f aca="false">C19+B20</f>
        <v>613079822.815693</v>
      </c>
      <c r="D20" s="11" t="n">
        <f aca="false">MAX(0,Assumptions!$B$28-C20)</f>
        <v>286920177.184307</v>
      </c>
      <c r="E20" s="34" t="str">
        <f aca="false">IF(D20=0,"✓ HEALED","—")</f>
        <v>—</v>
      </c>
    </row>
    <row r="21" customFormat="false" ht="15" hidden="false" customHeight="true" outlineLevel="0" collapsed="false">
      <c r="A21" s="23" t="n">
        <v>9</v>
      </c>
      <c r="B21" s="11" t="n">
        <f aca="false">Assumptions!$B$29*(1+Assumptions!$B$30)^(9-1)</f>
        <v>150354368.106825</v>
      </c>
      <c r="C21" s="11" t="n">
        <f aca="false">C20+B21</f>
        <v>763434190.922517</v>
      </c>
      <c r="D21" s="11" t="n">
        <f aca="false">MAX(0,Assumptions!$B$28-C21)</f>
        <v>136565809.077483</v>
      </c>
      <c r="E21" s="34" t="str">
        <f aca="false">IF(D21=0,"✓ HEALED","—")</f>
        <v>—</v>
      </c>
    </row>
    <row r="22" customFormat="false" ht="15" hidden="false" customHeight="true" outlineLevel="0" collapsed="false">
      <c r="A22" s="23" t="n">
        <v>10</v>
      </c>
      <c r="B22" s="11" t="n">
        <f aca="false">Assumptions!$B$29*(1+Assumptions!$B$30)^(10-1)</f>
        <v>177418154.366053</v>
      </c>
      <c r="C22" s="11" t="n">
        <f aca="false">C21+B22</f>
        <v>940852345.28857</v>
      </c>
      <c r="D22" s="11" t="n">
        <f aca="false">MAX(0,Assumptions!$B$28-C22)</f>
        <v>0</v>
      </c>
      <c r="E22" s="34" t="str">
        <f aca="false">IF(D22=0,"✓ HEALED","—")</f>
        <v>✓ HEALED</v>
      </c>
    </row>
    <row r="23" customFormat="false" ht="15" hidden="false" customHeight="true" outlineLevel="0" collapsed="false">
      <c r="A23" s="23" t="n">
        <v>11</v>
      </c>
      <c r="B23" s="11" t="n">
        <f aca="false">Assumptions!$B$29*(1+Assumptions!$B$30)^(11-1)</f>
        <v>209353422.151943</v>
      </c>
      <c r="C23" s="11" t="n">
        <f aca="false">C22+B23</f>
        <v>1150205767.44051</v>
      </c>
      <c r="D23" s="11" t="n">
        <f aca="false">MAX(0,Assumptions!$B$28-C23)</f>
        <v>0</v>
      </c>
      <c r="E23" s="34" t="str">
        <f aca="false">IF(D23=0,"✓ HEALED","—")</f>
        <v>✓ HEALED</v>
      </c>
    </row>
    <row r="24" customFormat="false" ht="15" hidden="false" customHeight="true" outlineLevel="0" collapsed="false">
      <c r="A24" s="23" t="n">
        <v>12</v>
      </c>
      <c r="B24" s="11" t="n">
        <f aca="false">Assumptions!$B$29*(1+Assumptions!$B$30)^(12-1)</f>
        <v>247037038.139292</v>
      </c>
      <c r="C24" s="11" t="n">
        <f aca="false">C23+B24</f>
        <v>1397242805.57981</v>
      </c>
      <c r="D24" s="11" t="n">
        <f aca="false">MAX(0,Assumptions!$B$28-C24)</f>
        <v>0</v>
      </c>
      <c r="E24" s="34" t="str">
        <f aca="false">IF(D24=0,"✓ HEALED","—")</f>
        <v>✓ HEALED</v>
      </c>
    </row>
    <row r="25" customFormat="false" ht="15" hidden="false" customHeight="true" outlineLevel="0" collapsed="false">
      <c r="A25" s="23" t="n">
        <v>13</v>
      </c>
      <c r="B25" s="11" t="n">
        <f aca="false">Assumptions!$B$29*(1+Assumptions!$B$30)^(13-1)</f>
        <v>291503705.004365</v>
      </c>
      <c r="C25" s="11" t="n">
        <f aca="false">C24+B25</f>
        <v>1688746510.58417</v>
      </c>
      <c r="D25" s="11" t="n">
        <f aca="false">MAX(0,Assumptions!$B$28-C25)</f>
        <v>0</v>
      </c>
      <c r="E25" s="34" t="str">
        <f aca="false">IF(D25=0,"✓ HEALED","—")</f>
        <v>✓ HEALED</v>
      </c>
    </row>
    <row r="26" customFormat="false" ht="15" hidden="false" customHeight="true" outlineLevel="0" collapsed="false">
      <c r="A26" s="23" t="n">
        <v>14</v>
      </c>
      <c r="B26" s="11" t="n">
        <f aca="false">Assumptions!$B$29*(1+Assumptions!$B$30)^(14-1)</f>
        <v>343974371.905151</v>
      </c>
      <c r="C26" s="11" t="n">
        <f aca="false">C25+B26</f>
        <v>2032720882.48932</v>
      </c>
      <c r="D26" s="11" t="n">
        <f aca="false">MAX(0,Assumptions!$B$28-C26)</f>
        <v>0</v>
      </c>
      <c r="E26" s="34" t="str">
        <f aca="false">IF(D26=0,"✓ HEALED","—")</f>
        <v>✓ HEALED</v>
      </c>
    </row>
    <row r="27" customFormat="false" ht="15" hidden="false" customHeight="true" outlineLevel="0" collapsed="false">
      <c r="A27" s="23" t="n">
        <v>15</v>
      </c>
      <c r="B27" s="11" t="n">
        <f aca="false">Assumptions!$B$29*(1+Assumptions!$B$30)^(15-1)</f>
        <v>405889758.848078</v>
      </c>
      <c r="C27" s="11" t="n">
        <f aca="false">C26+B27</f>
        <v>2438610641.3374</v>
      </c>
      <c r="D27" s="11" t="n">
        <f aca="false">MAX(0,Assumptions!$B$28-C27)</f>
        <v>0</v>
      </c>
      <c r="E27" s="34" t="str">
        <f aca="false">IF(D27=0,"✓ HEALED","—")</f>
        <v>✓ HEALED</v>
      </c>
    </row>
    <row r="28" customFormat="false" ht="15" hidden="false" customHeight="true" outlineLevel="0" collapsed="false">
      <c r="A28" s="23" t="n">
        <v>16</v>
      </c>
      <c r="B28" s="11" t="n">
        <f aca="false">Assumptions!$B$29*(1+Assumptions!$B$30)^(16-1)</f>
        <v>478949915.440732</v>
      </c>
      <c r="C28" s="11" t="n">
        <f aca="false">C27+B28</f>
        <v>2917560556.77813</v>
      </c>
      <c r="D28" s="11" t="n">
        <f aca="false">MAX(0,Assumptions!$B$28-C28)</f>
        <v>0</v>
      </c>
      <c r="E28" s="34" t="str">
        <f aca="false">IF(D28=0,"✓ HEALED","—")</f>
        <v>✓ HEALED</v>
      </c>
    </row>
    <row r="29" customFormat="false" ht="15" hidden="false" customHeight="true" outlineLevel="0" collapsed="false">
      <c r="A29" s="23" t="n">
        <v>17</v>
      </c>
      <c r="B29" s="11" t="n">
        <f aca="false">Assumptions!$B$29*(1+Assumptions!$B$30)^(17-1)</f>
        <v>565160900.220063</v>
      </c>
      <c r="C29" s="11" t="n">
        <f aca="false">C28+B29</f>
        <v>3482721456.99819</v>
      </c>
      <c r="D29" s="11" t="n">
        <f aca="false">MAX(0,Assumptions!$B$28-C29)</f>
        <v>0</v>
      </c>
      <c r="E29" s="34" t="str">
        <f aca="false">IF(D29=0,"✓ HEALED","—")</f>
        <v>✓ HEALED</v>
      </c>
    </row>
    <row r="30" customFormat="false" ht="15" hidden="false" customHeight="true" outlineLevel="0" collapsed="false">
      <c r="A30" s="23" t="n">
        <v>18</v>
      </c>
      <c r="B30" s="11" t="n">
        <f aca="false">Assumptions!$B$29*(1+Assumptions!$B$30)^(18-1)</f>
        <v>666889862.259675</v>
      </c>
      <c r="C30" s="11" t="n">
        <f aca="false">C29+B30</f>
        <v>4149611319.25787</v>
      </c>
      <c r="D30" s="11" t="n">
        <f aca="false">MAX(0,Assumptions!$B$28-C30)</f>
        <v>0</v>
      </c>
      <c r="E30" s="34" t="str">
        <f aca="false">IF(D30=0,"✓ HEALED","—")</f>
        <v>✓ HEALED</v>
      </c>
    </row>
    <row r="31" customFormat="false" ht="15" hidden="false" customHeight="true" outlineLevel="0" collapsed="false">
      <c r="A31" s="23" t="n">
        <v>19</v>
      </c>
      <c r="B31" s="11" t="n">
        <f aca="false">Assumptions!$B$29*(1+Assumptions!$B$30)^(19-1)</f>
        <v>786930037.466416</v>
      </c>
      <c r="C31" s="11" t="n">
        <f aca="false">C30+B31</f>
        <v>4936541356.72428</v>
      </c>
      <c r="D31" s="11" t="n">
        <f aca="false">MAX(0,Assumptions!$B$28-C31)</f>
        <v>0</v>
      </c>
      <c r="E31" s="34" t="str">
        <f aca="false">IF(D31=0,"✓ HEALED","—")</f>
        <v>✓ HEALED</v>
      </c>
    </row>
    <row r="32" customFormat="false" ht="15" hidden="false" customHeight="true" outlineLevel="0" collapsed="false">
      <c r="A32" s="23" t="n">
        <v>20</v>
      </c>
      <c r="B32" s="11" t="n">
        <f aca="false">Assumptions!$B$29*(1+Assumptions!$B$30)^(20-1)</f>
        <v>928577444.210371</v>
      </c>
      <c r="C32" s="11" t="n">
        <f aca="false">C31+B32</f>
        <v>5865118800.93465</v>
      </c>
      <c r="D32" s="11" t="n">
        <f aca="false">MAX(0,Assumptions!$B$28-C32)</f>
        <v>0</v>
      </c>
      <c r="E32" s="34" t="str">
        <f aca="false">IF(D32=0,"✓ HEALED","—")</f>
        <v>✓ HEALED</v>
      </c>
    </row>
    <row r="33" customFormat="false" ht="15" hidden="false" customHeight="true" outlineLevel="0" collapsed="false">
      <c r="A33" s="23" t="n">
        <v>21</v>
      </c>
      <c r="B33" s="11" t="n">
        <f aca="false">Assumptions!$B$29*(1+Assumptions!$B$30)^(21-1)</f>
        <v>1095721384.16824</v>
      </c>
      <c r="C33" s="11" t="n">
        <f aca="false">C32+B33</f>
        <v>6960840185.10289</v>
      </c>
      <c r="D33" s="11" t="n">
        <f aca="false">MAX(0,Assumptions!$B$28-C33)</f>
        <v>0</v>
      </c>
      <c r="E33" s="34" t="str">
        <f aca="false">IF(D33=0,"✓ HEALED","—")</f>
        <v>✓ HEALED</v>
      </c>
    </row>
    <row r="34" customFormat="false" ht="15" hidden="false" customHeight="true" outlineLevel="0" collapsed="false">
      <c r="A34" s="23" t="n">
        <v>22</v>
      </c>
      <c r="B34" s="11" t="n">
        <f aca="false">Assumptions!$B$29*(1+Assumptions!$B$30)^(22-1)</f>
        <v>1292951233.31852</v>
      </c>
      <c r="C34" s="11" t="n">
        <f aca="false">C33+B34</f>
        <v>8253791418.42141</v>
      </c>
      <c r="D34" s="11" t="n">
        <f aca="false">MAX(0,Assumptions!$B$28-C34)</f>
        <v>0</v>
      </c>
      <c r="E34" s="34" t="str">
        <f aca="false">IF(D34=0,"✓ HEALED","—")</f>
        <v>✓ HEALED</v>
      </c>
    </row>
    <row r="35" customFormat="false" ht="15" hidden="false" customHeight="true" outlineLevel="0" collapsed="false">
      <c r="A35" s="23" t="n">
        <v>23</v>
      </c>
      <c r="B35" s="11" t="n">
        <f aca="false">Assumptions!$B$29*(1+Assumptions!$B$30)^(23-1)</f>
        <v>1525682455.31585</v>
      </c>
      <c r="C35" s="11" t="n">
        <f aca="false">C34+B35</f>
        <v>9779473873.73727</v>
      </c>
      <c r="D35" s="11" t="n">
        <f aca="false">MAX(0,Assumptions!$B$28-C35)</f>
        <v>0</v>
      </c>
      <c r="E35" s="34" t="str">
        <f aca="false">IF(D35=0,"✓ HEALED","—")</f>
        <v>✓ HEALED</v>
      </c>
    </row>
    <row r="36" customFormat="false" ht="15" hidden="false" customHeight="true" outlineLevel="0" collapsed="false">
      <c r="A36" s="23" t="n">
        <v>24</v>
      </c>
      <c r="B36" s="11" t="n">
        <f aca="false">Assumptions!$B$29*(1+Assumptions!$B$30)^(24-1)</f>
        <v>1800305297.27271</v>
      </c>
      <c r="C36" s="11" t="n">
        <f aca="false">C35+B36</f>
        <v>11579779171.01</v>
      </c>
      <c r="D36" s="11" t="n">
        <f aca="false">MAX(0,Assumptions!$B$28-C36)</f>
        <v>0</v>
      </c>
      <c r="E36" s="34" t="str">
        <f aca="false">IF(D36=0,"✓ HEALED","—")</f>
        <v>✓ HEALED</v>
      </c>
    </row>
    <row r="37" customFormat="false" ht="15" hidden="false" customHeight="true" outlineLevel="0" collapsed="false">
      <c r="A37" s="23" t="n">
        <v>25</v>
      </c>
      <c r="B37" s="11" t="n">
        <f aca="false">Assumptions!$B$29*(1+Assumptions!$B$30)^(25-1)</f>
        <v>2124360250.78179</v>
      </c>
      <c r="C37" s="11" t="n">
        <f aca="false">C36+B37</f>
        <v>13704139421.7918</v>
      </c>
      <c r="D37" s="11" t="n">
        <f aca="false">MAX(0,Assumptions!$B$28-C37)</f>
        <v>0</v>
      </c>
      <c r="E37" s="34" t="str">
        <f aca="false">IF(D37=0,"✓ HEALED","—")</f>
        <v>✓ HEALED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8"/>
  </cols>
  <sheetData>
    <row r="1" customFormat="false" ht="34.5" hidden="false" customHeight="true" outlineLevel="0" collapsed="false">
      <c r="A1" s="21" t="s">
        <v>120</v>
      </c>
      <c r="B1" s="21"/>
      <c r="C1" s="21"/>
    </row>
    <row r="3" customFormat="false" ht="18" hidden="false" customHeight="true" outlineLevel="0" collapsed="false">
      <c r="A3" s="4" t="s">
        <v>121</v>
      </c>
      <c r="B3" s="4"/>
      <c r="C3" s="4"/>
    </row>
    <row r="4" customFormat="false" ht="16.5" hidden="false" customHeight="true" outlineLevel="0" collapsed="false">
      <c r="A4" s="5" t="s">
        <v>59</v>
      </c>
      <c r="B4" s="11" t="n">
        <f aca="false">Assumptions!B41</f>
        <v>225000000</v>
      </c>
      <c r="C4" s="7" t="s">
        <v>122</v>
      </c>
    </row>
    <row r="5" customFormat="false" ht="16.5" hidden="false" customHeight="true" outlineLevel="0" collapsed="false">
      <c r="A5" s="5" t="s">
        <v>123</v>
      </c>
      <c r="B5" s="11" t="n">
        <f aca="false">Assumptions!B42</f>
        <v>90000000</v>
      </c>
      <c r="C5" s="35" t="s">
        <v>124</v>
      </c>
    </row>
    <row r="6" customFormat="false" ht="16.5" hidden="false" customHeight="true" outlineLevel="0" collapsed="false">
      <c r="A6" s="5" t="s">
        <v>125</v>
      </c>
      <c r="B6" s="11" t="n">
        <f aca="false">Assumptions!B43</f>
        <v>1800000000</v>
      </c>
      <c r="C6" s="7" t="s">
        <v>126</v>
      </c>
    </row>
    <row r="7" customFormat="false" ht="16.5" hidden="false" customHeight="true" outlineLevel="0" collapsed="false">
      <c r="A7" s="5" t="s">
        <v>63</v>
      </c>
      <c r="B7" s="11" t="n">
        <f aca="false">Assumptions!B44</f>
        <v>2250000</v>
      </c>
      <c r="C7" s="7" t="s">
        <v>127</v>
      </c>
    </row>
    <row r="8" customFormat="false" ht="16.5" hidden="false" customHeight="true" outlineLevel="0" collapsed="false">
      <c r="A8" s="5" t="s">
        <v>64</v>
      </c>
      <c r="B8" s="11" t="n">
        <f aca="false">Assumptions!B45</f>
        <v>1797750000</v>
      </c>
      <c r="C8" s="7" t="s">
        <v>128</v>
      </c>
    </row>
    <row r="9" customFormat="false" ht="16.5" hidden="false" customHeight="true" outlineLevel="0" collapsed="false">
      <c r="A9" s="5" t="s">
        <v>66</v>
      </c>
      <c r="B9" s="11" t="n">
        <f aca="false">Assumptions!B46</f>
        <v>2025000000</v>
      </c>
      <c r="C9" s="7" t="s">
        <v>129</v>
      </c>
    </row>
    <row r="10" customFormat="false" ht="16.5" hidden="false" customHeight="true" outlineLevel="0" collapsed="false">
      <c r="A10" s="5" t="s">
        <v>68</v>
      </c>
      <c r="B10" s="36" t="n">
        <f aca="false">Assumptions!B47</f>
        <v>3822750000</v>
      </c>
      <c r="C10" s="7" t="s">
        <v>130</v>
      </c>
    </row>
    <row r="11" customFormat="false" ht="36" hidden="false" customHeight="true" outlineLevel="0" collapsed="false">
      <c r="A11" s="37" t="s">
        <v>131</v>
      </c>
      <c r="B11" s="37"/>
      <c r="C11" s="37"/>
    </row>
    <row r="13" customFormat="false" ht="18" hidden="false" customHeight="true" outlineLevel="0" collapsed="false">
      <c r="A13" s="4" t="s">
        <v>132</v>
      </c>
      <c r="B13" s="4"/>
      <c r="C13" s="4"/>
    </row>
    <row r="14" customFormat="false" ht="21.75" hidden="false" customHeight="true" outlineLevel="0" collapsed="false">
      <c r="A14" s="22" t="s">
        <v>133</v>
      </c>
      <c r="B14" s="22" t="s">
        <v>134</v>
      </c>
      <c r="C14" s="22" t="s">
        <v>135</v>
      </c>
    </row>
    <row r="15" customFormat="false" ht="15.75" hidden="false" customHeight="true" outlineLevel="0" collapsed="false">
      <c r="A15" s="5" t="s">
        <v>136</v>
      </c>
      <c r="B15" s="38" t="n">
        <f aca="false">Assumptions!B47*1</f>
        <v>3822750000</v>
      </c>
      <c r="C15" s="7" t="s">
        <v>137</v>
      </c>
    </row>
    <row r="16" customFormat="false" ht="15.75" hidden="false" customHeight="true" outlineLevel="0" collapsed="false">
      <c r="A16" s="5" t="s">
        <v>138</v>
      </c>
      <c r="B16" s="38" t="n">
        <f aca="false">Assumptions!B47*2.47</f>
        <v>9442192500</v>
      </c>
      <c r="C16" s="7" t="s">
        <v>139</v>
      </c>
    </row>
    <row r="17" customFormat="false" ht="15.75" hidden="false" customHeight="true" outlineLevel="0" collapsed="false">
      <c r="A17" s="5" t="s">
        <v>140</v>
      </c>
      <c r="B17" s="38" t="n">
        <f aca="false">Assumptions!B47*4.5</f>
        <v>17202375000</v>
      </c>
      <c r="C17" s="7" t="s">
        <v>141</v>
      </c>
    </row>
    <row r="18" customFormat="false" ht="15.75" hidden="false" customHeight="true" outlineLevel="0" collapsed="false">
      <c r="A18" s="5" t="s">
        <v>142</v>
      </c>
      <c r="B18" s="38" t="n">
        <f aca="false">Assumptions!B47*8.34</f>
        <v>31881735000</v>
      </c>
      <c r="C18" s="7" t="s">
        <v>143</v>
      </c>
    </row>
    <row r="20" customFormat="false" ht="18" hidden="false" customHeight="true" outlineLevel="0" collapsed="false">
      <c r="A20" s="4" t="s">
        <v>144</v>
      </c>
      <c r="B20" s="4"/>
      <c r="C20" s="4"/>
    </row>
    <row r="21" customFormat="false" ht="15" hidden="false" customHeight="true" outlineLevel="0" collapsed="false">
      <c r="A21" s="5" t="s">
        <v>145</v>
      </c>
      <c r="B21" s="39" t="s">
        <v>146</v>
      </c>
      <c r="C21" s="7" t="s">
        <v>147</v>
      </c>
    </row>
    <row r="22" customFormat="false" ht="15" hidden="false" customHeight="true" outlineLevel="0" collapsed="false">
      <c r="A22" s="5" t="s">
        <v>148</v>
      </c>
      <c r="B22" s="39" t="s">
        <v>149</v>
      </c>
      <c r="C22" s="7" t="s">
        <v>150</v>
      </c>
    </row>
    <row r="23" customFormat="false" ht="15" hidden="false" customHeight="true" outlineLevel="0" collapsed="false">
      <c r="A23" s="5" t="s">
        <v>151</v>
      </c>
      <c r="B23" s="39" t="s">
        <v>152</v>
      </c>
      <c r="C23" s="7" t="s">
        <v>147</v>
      </c>
    </row>
    <row r="24" customFormat="false" ht="15" hidden="false" customHeight="true" outlineLevel="0" collapsed="false">
      <c r="A24" s="5" t="s">
        <v>153</v>
      </c>
      <c r="B24" s="39" t="s">
        <v>154</v>
      </c>
      <c r="C24" s="7" t="s">
        <v>155</v>
      </c>
    </row>
    <row r="25" customFormat="false" ht="15" hidden="false" customHeight="true" outlineLevel="0" collapsed="false">
      <c r="A25" s="5" t="s">
        <v>156</v>
      </c>
      <c r="B25" s="12" t="n">
        <f aca="false">Assumptions!B36</f>
        <v>0.02</v>
      </c>
      <c r="C25" s="7" t="s">
        <v>157</v>
      </c>
    </row>
    <row r="26" customFormat="false" ht="15" hidden="false" customHeight="true" outlineLevel="0" collapsed="false">
      <c r="A26" s="5" t="s">
        <v>158</v>
      </c>
      <c r="B26" s="12" t="n">
        <f aca="false">Assumptions!B36/0.0004</f>
        <v>50</v>
      </c>
      <c r="C26" s="7" t="s">
        <v>159</v>
      </c>
    </row>
    <row r="27" customFormat="false" ht="15" hidden="false" customHeight="true" outlineLevel="0" collapsed="false">
      <c r="A27" s="5" t="s">
        <v>160</v>
      </c>
      <c r="B27" s="12" t="n">
        <f aca="false">Assumptions!B43/(Assumptions!B37*Assumptions!B41)</f>
        <v>16</v>
      </c>
      <c r="C27" s="7" t="s">
        <v>161</v>
      </c>
    </row>
  </sheetData>
  <mergeCells count="5">
    <mergeCell ref="A1:C1"/>
    <mergeCell ref="A3:C3"/>
    <mergeCell ref="A11:C11"/>
    <mergeCell ref="A13:C13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4"/>
    <col collapsed="false" customWidth="true" hidden="false" outlineLevel="0" max="6" min="6" style="1" width="16"/>
  </cols>
  <sheetData>
    <row r="1" customFormat="false" ht="34.5" hidden="false" customHeight="true" outlineLevel="0" collapsed="false">
      <c r="A1" s="21" t="s">
        <v>162</v>
      </c>
      <c r="B1" s="21"/>
      <c r="C1" s="21"/>
      <c r="D1" s="21"/>
      <c r="E1" s="21"/>
      <c r="F1" s="21"/>
    </row>
    <row r="3" customFormat="false" ht="30" hidden="false" customHeight="true" outlineLevel="0" collapsed="false">
      <c r="A3" s="22" t="s">
        <v>163</v>
      </c>
      <c r="B3" s="22" t="s">
        <v>164</v>
      </c>
      <c r="C3" s="22" t="s">
        <v>165</v>
      </c>
      <c r="D3" s="22" t="s">
        <v>166</v>
      </c>
      <c r="E3" s="22" t="s">
        <v>167</v>
      </c>
      <c r="F3" s="22" t="s">
        <v>168</v>
      </c>
    </row>
    <row r="4" customFormat="false" ht="18" hidden="false" customHeight="true" outlineLevel="0" collapsed="false">
      <c r="A4" s="5" t="s">
        <v>11</v>
      </c>
      <c r="B4" s="12" t="n">
        <f aca="false">Assumptions!B9</f>
        <v>0.8</v>
      </c>
      <c r="C4" s="40" t="s">
        <v>169</v>
      </c>
      <c r="D4" s="41" t="s">
        <v>170</v>
      </c>
      <c r="E4" s="42" t="s">
        <v>171</v>
      </c>
      <c r="F4" s="43" t="s">
        <v>172</v>
      </c>
    </row>
    <row r="5" customFormat="false" ht="18" hidden="false" customHeight="true" outlineLevel="0" collapsed="false">
      <c r="A5" s="5" t="s">
        <v>173</v>
      </c>
      <c r="B5" s="11" t="n">
        <f aca="false">Assumptions!B8</f>
        <v>450000000</v>
      </c>
      <c r="C5" s="40" t="s">
        <v>169</v>
      </c>
      <c r="D5" s="41" t="s">
        <v>170</v>
      </c>
      <c r="E5" s="42" t="s">
        <v>171</v>
      </c>
      <c r="F5" s="43" t="s">
        <v>174</v>
      </c>
    </row>
    <row r="6" customFormat="false" ht="18" hidden="false" customHeight="true" outlineLevel="0" collapsed="false">
      <c r="A6" s="5" t="s">
        <v>50</v>
      </c>
      <c r="B6" s="12" t="n">
        <f aca="false">Assumptions!B36</f>
        <v>0.02</v>
      </c>
      <c r="C6" s="40" t="s">
        <v>169</v>
      </c>
      <c r="D6" s="41" t="s">
        <v>170</v>
      </c>
      <c r="E6" s="42" t="s">
        <v>171</v>
      </c>
      <c r="F6" s="43" t="s">
        <v>175</v>
      </c>
    </row>
    <row r="7" customFormat="false" ht="18" hidden="false" customHeight="true" outlineLevel="0" collapsed="false">
      <c r="A7" s="5" t="s">
        <v>176</v>
      </c>
      <c r="B7" s="12" t="n">
        <f aca="false">Assumptions!B19</f>
        <v>0.07</v>
      </c>
      <c r="C7" s="40" t="s">
        <v>169</v>
      </c>
      <c r="D7" s="41" t="s">
        <v>170</v>
      </c>
      <c r="E7" s="42" t="s">
        <v>171</v>
      </c>
      <c r="F7" s="43" t="s">
        <v>177</v>
      </c>
    </row>
    <row r="8" customFormat="false" ht="18" hidden="false" customHeight="true" outlineLevel="0" collapsed="false">
      <c r="A8" s="5" t="s">
        <v>178</v>
      </c>
      <c r="B8" s="12" t="n">
        <f aca="false">Assumptions!B6</f>
        <v>0.045</v>
      </c>
      <c r="C8" s="40" t="s">
        <v>169</v>
      </c>
      <c r="D8" s="41" t="s">
        <v>170</v>
      </c>
      <c r="E8" s="42" t="s">
        <v>171</v>
      </c>
      <c r="F8" s="43" t="s">
        <v>179</v>
      </c>
    </row>
    <row r="9" customFormat="false" ht="18" hidden="false" customHeight="true" outlineLevel="0" collapsed="false">
      <c r="A9" s="5" t="s">
        <v>26</v>
      </c>
      <c r="B9" s="12" t="n">
        <f aca="false">Assumptions!B21</f>
        <v>0.15</v>
      </c>
      <c r="C9" s="40" t="s">
        <v>169</v>
      </c>
      <c r="D9" s="41" t="s">
        <v>170</v>
      </c>
      <c r="E9" s="42" t="s">
        <v>171</v>
      </c>
      <c r="F9" s="43" t="s">
        <v>180</v>
      </c>
    </row>
    <row r="10" customFormat="false" ht="18" hidden="false" customHeight="true" outlineLevel="0" collapsed="false">
      <c r="A10" s="5" t="s">
        <v>181</v>
      </c>
      <c r="B10" s="12" t="n">
        <f aca="false">Assumptions!B35</f>
        <v>0.025</v>
      </c>
      <c r="C10" s="40" t="s">
        <v>169</v>
      </c>
      <c r="D10" s="41" t="s">
        <v>170</v>
      </c>
      <c r="E10" s="42" t="s">
        <v>171</v>
      </c>
      <c r="F10" s="43" t="s">
        <v>182</v>
      </c>
    </row>
    <row r="11" customFormat="false" ht="18" hidden="false" customHeight="true" outlineLevel="0" collapsed="false">
      <c r="A11" s="5" t="s">
        <v>183</v>
      </c>
      <c r="B11" s="12" t="n">
        <f aca="false">Assumptions!B37</f>
        <v>0.5</v>
      </c>
      <c r="C11" s="40" t="s">
        <v>169</v>
      </c>
      <c r="D11" s="41" t="s">
        <v>170</v>
      </c>
      <c r="E11" s="42" t="s">
        <v>171</v>
      </c>
      <c r="F11" s="43" t="s">
        <v>184</v>
      </c>
    </row>
    <row r="13" customFormat="false" ht="18" hidden="false" customHeight="true" outlineLevel="0" collapsed="false">
      <c r="A13" s="4" t="s">
        <v>185</v>
      </c>
      <c r="B13" s="4"/>
      <c r="C13" s="4"/>
      <c r="D13" s="4"/>
      <c r="E13" s="4"/>
      <c r="F13" s="4"/>
    </row>
    <row r="14" customFormat="false" ht="15.75" hidden="false" customHeight="true" outlineLevel="0" collapsed="false">
      <c r="A14" s="5" t="s">
        <v>186</v>
      </c>
      <c r="B14" s="44" t="s">
        <v>187</v>
      </c>
      <c r="C14" s="45" t="s">
        <v>188</v>
      </c>
      <c r="D14" s="45"/>
      <c r="E14" s="45"/>
      <c r="F14" s="45"/>
    </row>
    <row r="15" customFormat="false" ht="15.75" hidden="false" customHeight="true" outlineLevel="0" collapsed="false">
      <c r="A15" s="5" t="s">
        <v>189</v>
      </c>
      <c r="B15" s="44" t="s">
        <v>190</v>
      </c>
      <c r="C15" s="45" t="s">
        <v>191</v>
      </c>
      <c r="D15" s="45"/>
      <c r="E15" s="45"/>
      <c r="F15" s="45"/>
    </row>
    <row r="16" customFormat="false" ht="15.75" hidden="false" customHeight="true" outlineLevel="0" collapsed="false">
      <c r="A16" s="5" t="s">
        <v>192</v>
      </c>
      <c r="B16" s="44" t="s">
        <v>193</v>
      </c>
      <c r="C16" s="45" t="s">
        <v>194</v>
      </c>
      <c r="D16" s="45"/>
      <c r="E16" s="45"/>
      <c r="F16" s="45"/>
    </row>
    <row r="17" customFormat="false" ht="15.75" hidden="false" customHeight="true" outlineLevel="0" collapsed="false">
      <c r="A17" s="5" t="s">
        <v>195</v>
      </c>
      <c r="B17" s="44" t="s">
        <v>196</v>
      </c>
      <c r="C17" s="45" t="s">
        <v>197</v>
      </c>
      <c r="D17" s="45"/>
      <c r="E17" s="45"/>
      <c r="F17" s="45"/>
    </row>
  </sheetData>
  <mergeCells count="6">
    <mergeCell ref="A1:F1"/>
    <mergeCell ref="A13:F13"/>
    <mergeCell ref="C14:F14"/>
    <mergeCell ref="C15:F15"/>
    <mergeCell ref="C16:F16"/>
    <mergeCell ref="C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20"/>
  </cols>
  <sheetData>
    <row r="1" customFormat="false" ht="34.5" hidden="false" customHeight="true" outlineLevel="0" collapsed="false">
      <c r="A1" s="21" t="s">
        <v>198</v>
      </c>
      <c r="B1" s="21"/>
      <c r="C1" s="21"/>
      <c r="D1" s="21"/>
      <c r="E1" s="21"/>
    </row>
    <row r="2" customFormat="false" ht="15" hidden="false" customHeight="true" outlineLevel="0" collapsed="false">
      <c r="A2" s="3" t="s">
        <v>199</v>
      </c>
      <c r="B2" s="3"/>
      <c r="C2" s="3"/>
      <c r="D2" s="3"/>
      <c r="E2" s="3"/>
    </row>
    <row r="3" customFormat="false" ht="24.75" hidden="false" customHeight="true" outlineLevel="0" collapsed="false">
      <c r="A3" s="22" t="s">
        <v>200</v>
      </c>
      <c r="B3" s="22" t="s">
        <v>201</v>
      </c>
      <c r="C3" s="22" t="s">
        <v>202</v>
      </c>
      <c r="D3" s="22" t="s">
        <v>203</v>
      </c>
      <c r="E3" s="22" t="s">
        <v>135</v>
      </c>
    </row>
    <row r="4" customFormat="false" ht="18" hidden="false" customHeight="true" outlineLevel="0" collapsed="false">
      <c r="A4" s="46" t="s">
        <v>204</v>
      </c>
      <c r="B4" s="11" t="n">
        <v>141497041</v>
      </c>
      <c r="C4" s="11" t="n">
        <f aca="false">$B$5*(Assumptions!$B$6*(1+Assumptions!$B$6)^Assumptions!$B$7)/((1+Assumptions!$B$6)^Assumptions!$B$7-1)</f>
        <v>0.6380719978896</v>
      </c>
      <c r="D4" s="47" t="str">
        <f aca="false">IF(ABS(C4-B4)/B4&lt;0.02,"✓ PASS","✗ FAIL")</f>
        <v>✗ FAIL</v>
      </c>
      <c r="E4" s="48" t="s">
        <v>205</v>
      </c>
    </row>
    <row r="5" customFormat="false" ht="18" hidden="false" customHeight="true" outlineLevel="0" collapsed="false">
      <c r="A5" s="46" t="s">
        <v>206</v>
      </c>
      <c r="B5" s="13" t="n">
        <v>8.3</v>
      </c>
      <c r="C5" s="49" t="n">
        <f aca="false">LN(1+360000000*0.18/22000000)/LN(1+0.18)</f>
        <v>8.29271561401555</v>
      </c>
      <c r="D5" s="47" t="str">
        <f aca="false">IF(ABS(C5-B5)/B5&lt;0.05,"✓ PASS","✗ FAIL")</f>
        <v>✓ PASS</v>
      </c>
      <c r="E5" s="48" t="s">
        <v>207</v>
      </c>
    </row>
    <row r="6" customFormat="false" ht="18" hidden="false" customHeight="true" outlineLevel="0" collapsed="false">
      <c r="A6" s="46" t="s">
        <v>208</v>
      </c>
      <c r="B6" s="50" t="n">
        <v>0.082</v>
      </c>
      <c r="C6" s="49" t="n">
        <f aca="false">(1-Assumptions!$B$21)*Assumptions!$B$19+Assumptions!$B$21*Assumptions!$B$22</f>
        <v>0.067</v>
      </c>
      <c r="D6" s="47" t="str">
        <f aca="false">IF(ABS(C6-B6)&lt;0.001,"✓ PASS","✗ FAIL")</f>
        <v>✗ FAIL</v>
      </c>
      <c r="E6" s="48" t="s">
        <v>209</v>
      </c>
    </row>
    <row r="7" customFormat="false" ht="18" hidden="false" customHeight="true" outlineLevel="0" collapsed="false">
      <c r="A7" s="46" t="s">
        <v>210</v>
      </c>
      <c r="B7" s="11" t="n">
        <v>92000000</v>
      </c>
      <c r="C7" s="11" t="n">
        <f aca="false">Assumptions!$B$5*Assumptions!$B$34</f>
        <v>225000000</v>
      </c>
      <c r="D7" s="47" t="str">
        <f aca="false">IF(ABS(C7-B7)/B7&lt;0.001,"✓ PASS","✗ FAIL")</f>
        <v>✗ FAIL</v>
      </c>
      <c r="E7" s="48" t="s">
        <v>211</v>
      </c>
    </row>
    <row r="8" customFormat="false" ht="18" hidden="false" customHeight="true" outlineLevel="0" collapsed="false">
      <c r="A8" s="46" t="s">
        <v>212</v>
      </c>
      <c r="B8" s="11" t="n">
        <v>716000000</v>
      </c>
      <c r="C8" s="11" t="n">
        <f aca="false">Assumptions!$B$47</f>
        <v>3822750000</v>
      </c>
      <c r="D8" s="47" t="str">
        <f aca="false">IF(ABS(C8-B8)/B8&lt;0.15,"✓ PASS","✗ FAIL")</f>
        <v>✗ FAIL</v>
      </c>
      <c r="E8" s="48" t="s">
        <v>213</v>
      </c>
    </row>
    <row r="9" customFormat="false" ht="18" hidden="false" customHeight="true" outlineLevel="0" collapsed="false">
      <c r="A9" s="46" t="s">
        <v>214</v>
      </c>
      <c r="B9" s="11" t="n">
        <f aca="false">Assumptions!$B$11</f>
        <v>0</v>
      </c>
      <c r="C9" s="49" t="n">
        <f aca="false">'Bond Cashflows'!B4</f>
        <v>0</v>
      </c>
      <c r="D9" s="47" t="str">
        <f aca="false">IFERROR(IF(ABS(C9-B9)/B9&lt;0.001,"✓ PASS","✗ FAIL"),"✓ PASS")</f>
        <v>✓ PASS</v>
      </c>
      <c r="E9" s="48" t="s">
        <v>215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6" min="4" style="1" width="10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22"/>
  </cols>
  <sheetData>
    <row r="1" customFormat="false" ht="36" hidden="false" customHeight="true" outlineLevel="0" collapsed="false">
      <c r="A1" s="21" t="s">
        <v>216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" hidden="false" customHeight="true" outlineLevel="0" collapsed="false">
      <c r="A2" s="51" t="s">
        <v>217</v>
      </c>
      <c r="B2" s="51"/>
      <c r="C2" s="51"/>
      <c r="D2" s="51"/>
      <c r="E2" s="51"/>
      <c r="F2" s="51"/>
      <c r="G2" s="51"/>
      <c r="H2" s="51"/>
      <c r="I2" s="51"/>
      <c r="J2" s="51"/>
    </row>
    <row r="4" customFormat="false" ht="18" hidden="false" customHeight="true" outlineLevel="0" collapsed="false">
      <c r="A4" s="4" t="s">
        <v>218</v>
      </c>
      <c r="B4" s="4"/>
      <c r="C4" s="4"/>
      <c r="D4" s="4"/>
      <c r="E4" s="4"/>
    </row>
    <row r="5" customFormat="false" ht="15.75" hidden="false" customHeight="true" outlineLevel="0" collapsed="false">
      <c r="A5" s="5" t="s">
        <v>219</v>
      </c>
      <c r="B5" s="52" t="n">
        <v>55</v>
      </c>
      <c r="C5" s="53" t="s">
        <v>220</v>
      </c>
      <c r="D5" s="53"/>
      <c r="E5" s="53"/>
    </row>
    <row r="6" customFormat="false" ht="15.75" hidden="false" customHeight="true" outlineLevel="0" collapsed="false">
      <c r="A6" s="5" t="s">
        <v>221</v>
      </c>
      <c r="B6" s="10" t="n">
        <v>0.35</v>
      </c>
      <c r="C6" s="53"/>
      <c r="D6" s="53"/>
      <c r="E6" s="53"/>
    </row>
    <row r="7" customFormat="false" ht="15.75" hidden="false" customHeight="true" outlineLevel="0" collapsed="false">
      <c r="A7" s="5" t="s">
        <v>222</v>
      </c>
      <c r="B7" s="54" t="n">
        <v>3.5</v>
      </c>
      <c r="C7" s="53"/>
      <c r="D7" s="53"/>
      <c r="E7" s="53"/>
    </row>
    <row r="8" customFormat="false" ht="15.75" hidden="false" customHeight="true" outlineLevel="0" collapsed="false">
      <c r="A8" s="5" t="s">
        <v>223</v>
      </c>
      <c r="B8" s="54" t="n">
        <v>5</v>
      </c>
      <c r="C8" s="53"/>
      <c r="D8" s="53"/>
      <c r="E8" s="53"/>
    </row>
    <row r="9" customFormat="false" ht="15.75" hidden="false" customHeight="true" outlineLevel="0" collapsed="false">
      <c r="A9" s="5" t="s">
        <v>224</v>
      </c>
      <c r="B9" s="54" t="n">
        <v>0.4</v>
      </c>
      <c r="C9" s="53"/>
      <c r="D9" s="53"/>
      <c r="E9" s="53"/>
    </row>
    <row r="10" customFormat="false" ht="15.75" hidden="false" customHeight="true" outlineLevel="0" collapsed="false">
      <c r="A10" s="5" t="s">
        <v>225</v>
      </c>
      <c r="B10" s="55" t="n">
        <v>0.0002</v>
      </c>
      <c r="C10" s="53"/>
      <c r="D10" s="53"/>
      <c r="E10" s="53"/>
    </row>
    <row r="12" customFormat="false" ht="18" hidden="false" customHeight="true" outlineLevel="0" collapsed="false">
      <c r="A12" s="4" t="s">
        <v>226</v>
      </c>
      <c r="B12" s="4"/>
      <c r="C12" s="4"/>
      <c r="D12" s="4"/>
      <c r="E12" s="4"/>
    </row>
    <row r="13" customFormat="false" ht="15.75" hidden="false" customHeight="true" outlineLevel="0" collapsed="false">
      <c r="A13" s="5" t="s">
        <v>227</v>
      </c>
      <c r="B13" s="56" t="s">
        <v>228</v>
      </c>
      <c r="C13" s="56"/>
      <c r="D13" s="56"/>
      <c r="E13" s="56"/>
    </row>
    <row r="14" customFormat="false" ht="15.75" hidden="false" customHeight="true" outlineLevel="0" collapsed="false">
      <c r="A14" s="5" t="s">
        <v>229</v>
      </c>
      <c r="B14" s="57" t="s">
        <v>230</v>
      </c>
      <c r="C14" s="57"/>
      <c r="D14" s="57"/>
      <c r="E14" s="57"/>
    </row>
    <row r="15" customFormat="false" ht="15.75" hidden="false" customHeight="true" outlineLevel="0" collapsed="false">
      <c r="A15" s="5" t="s">
        <v>231</v>
      </c>
      <c r="B15" s="56" t="s">
        <v>232</v>
      </c>
      <c r="C15" s="56"/>
      <c r="D15" s="56"/>
      <c r="E15" s="56"/>
    </row>
    <row r="16" customFormat="false" ht="15.75" hidden="false" customHeight="true" outlineLevel="0" collapsed="false">
      <c r="A16" s="5" t="s">
        <v>233</v>
      </c>
      <c r="B16" s="56" t="s">
        <v>234</v>
      </c>
      <c r="C16" s="56"/>
      <c r="D16" s="56"/>
      <c r="E16" s="56"/>
    </row>
    <row r="17" customFormat="false" ht="15.75" hidden="false" customHeight="true" outlineLevel="0" collapsed="false">
      <c r="A17" s="5" t="s">
        <v>235</v>
      </c>
      <c r="B17" s="56" t="s">
        <v>236</v>
      </c>
      <c r="C17" s="56"/>
      <c r="D17" s="56"/>
      <c r="E17" s="56"/>
    </row>
    <row r="19" customFormat="false" ht="18" hidden="false" customHeight="true" outlineLevel="0" collapsed="false">
      <c r="A19" s="4" t="s">
        <v>237</v>
      </c>
      <c r="B19" s="4"/>
      <c r="C19" s="4"/>
      <c r="D19" s="4"/>
      <c r="E19" s="4"/>
      <c r="F19" s="4"/>
      <c r="G19" s="4"/>
      <c r="H19" s="4"/>
      <c r="I19" s="4"/>
      <c r="J19" s="4"/>
    </row>
    <row r="20" customFormat="false" ht="30" hidden="false" customHeight="true" outlineLevel="0" collapsed="false">
      <c r="A20" s="58" t="s">
        <v>238</v>
      </c>
      <c r="B20" s="58" t="s">
        <v>239</v>
      </c>
      <c r="C20" s="58" t="s">
        <v>240</v>
      </c>
      <c r="D20" s="58" t="s">
        <v>241</v>
      </c>
      <c r="E20" s="58" t="s">
        <v>242</v>
      </c>
      <c r="F20" s="58" t="s">
        <v>243</v>
      </c>
      <c r="G20" s="58" t="s">
        <v>244</v>
      </c>
      <c r="H20" s="58" t="s">
        <v>245</v>
      </c>
      <c r="I20" s="58" t="s">
        <v>246</v>
      </c>
      <c r="J20" s="58" t="s">
        <v>247</v>
      </c>
    </row>
    <row r="21" customFormat="false" ht="15" hidden="false" customHeight="true" outlineLevel="0" collapsed="false">
      <c r="A21" s="59" t="s">
        <v>248</v>
      </c>
      <c r="B21" s="60" t="s">
        <v>249</v>
      </c>
      <c r="C21" s="9" t="n">
        <v>450</v>
      </c>
      <c r="D21" s="52" t="n">
        <v>4.8</v>
      </c>
      <c r="E21" s="61" t="n">
        <v>0.2</v>
      </c>
      <c r="F21" s="61" t="n">
        <v>0.7</v>
      </c>
      <c r="G21" s="62" t="n">
        <f aca="false">450*1000*8760*$B$6/$B$5/1000</f>
        <v>25085.4545454545</v>
      </c>
      <c r="H21" s="9" t="n">
        <v>1600</v>
      </c>
      <c r="I21" s="63" t="n">
        <f aca="false">$B$7+$B$9+1600*$B$10</f>
        <v>4.22</v>
      </c>
      <c r="J21" s="64" t="str">
        <f aca="false">IF($B$7+$B$9+1600*$B$10&lt;=$B$8,"✓ AU","US/EU")</f>
        <v>✓ AU</v>
      </c>
    </row>
    <row r="22" customFormat="false" ht="15" hidden="false" customHeight="true" outlineLevel="0" collapsed="false">
      <c r="A22" s="59" t="s">
        <v>250</v>
      </c>
      <c r="B22" s="60" t="s">
        <v>249</v>
      </c>
      <c r="C22" s="9" t="n">
        <v>120</v>
      </c>
      <c r="D22" s="52" t="n">
        <v>5.5</v>
      </c>
      <c r="E22" s="61" t="n">
        <v>0.25</v>
      </c>
      <c r="F22" s="61" t="n">
        <v>0.6</v>
      </c>
      <c r="G22" s="62" t="n">
        <f aca="false">120*1000*8760*$B$6/$B$5/1000</f>
        <v>6689.45454545455</v>
      </c>
      <c r="H22" s="9" t="n">
        <v>1400</v>
      </c>
      <c r="I22" s="63" t="n">
        <f aca="false">$B$7+$B$9+1400*$B$10</f>
        <v>4.18</v>
      </c>
      <c r="J22" s="64" t="str">
        <f aca="false">IF($B$7+$B$9+1400*$B$10&lt;=$B$8,"✓ AU","US/EU")</f>
        <v>✓ AU</v>
      </c>
    </row>
    <row r="23" customFormat="false" ht="15" hidden="false" customHeight="true" outlineLevel="0" collapsed="false">
      <c r="A23" s="59" t="s">
        <v>251</v>
      </c>
      <c r="B23" s="60" t="s">
        <v>249</v>
      </c>
      <c r="C23" s="9" t="n">
        <v>85</v>
      </c>
      <c r="D23" s="52" t="n">
        <v>5.2</v>
      </c>
      <c r="E23" s="61" t="n">
        <v>0.28</v>
      </c>
      <c r="F23" s="61" t="n">
        <v>0.4</v>
      </c>
      <c r="G23" s="62" t="n">
        <f aca="false">85*1000*8760*$B$6/$B$5/1000</f>
        <v>4738.36363636364</v>
      </c>
      <c r="H23" s="9" t="n">
        <v>3150</v>
      </c>
      <c r="I23" s="63" t="n">
        <f aca="false">$B$7+$B$9+3150*$B$10</f>
        <v>4.53</v>
      </c>
      <c r="J23" s="64" t="str">
        <f aca="false">IF($B$7+$B$9+3150*$B$10&lt;=$B$8,"✓ AU","US/EU")</f>
        <v>✓ AU</v>
      </c>
    </row>
    <row r="24" customFormat="false" ht="15" hidden="false" customHeight="true" outlineLevel="0" collapsed="false">
      <c r="A24" s="59" t="s">
        <v>252</v>
      </c>
      <c r="B24" s="60" t="s">
        <v>249</v>
      </c>
      <c r="C24" s="9" t="n">
        <v>60</v>
      </c>
      <c r="D24" s="52" t="n">
        <v>5</v>
      </c>
      <c r="E24" s="61" t="n">
        <v>0.22</v>
      </c>
      <c r="F24" s="61" t="n">
        <v>0.85</v>
      </c>
      <c r="G24" s="62" t="n">
        <f aca="false">60*1000*8760*$B$6/$B$5/1000</f>
        <v>3344.72727272727</v>
      </c>
      <c r="H24" s="9" t="n">
        <v>2700</v>
      </c>
      <c r="I24" s="63" t="n">
        <f aca="false">$B$7+$B$9+2700*$B$10</f>
        <v>4.44</v>
      </c>
      <c r="J24" s="64" t="str">
        <f aca="false">IF($B$7+$B$9+2700*$B$10&lt;=$B$8,"✓ AU","US/EU")</f>
        <v>✓ AU</v>
      </c>
    </row>
    <row r="25" customFormat="false" ht="15" hidden="false" customHeight="true" outlineLevel="0" collapsed="false">
      <c r="A25" s="59" t="s">
        <v>253</v>
      </c>
      <c r="B25" s="60" t="s">
        <v>249</v>
      </c>
      <c r="C25" s="9" t="n">
        <v>45</v>
      </c>
      <c r="D25" s="52" t="n">
        <v>5.3</v>
      </c>
      <c r="E25" s="61" t="n">
        <v>0.25</v>
      </c>
      <c r="F25" s="61" t="n">
        <v>0.9</v>
      </c>
      <c r="G25" s="62" t="n">
        <f aca="false">45*1000*8760*$B$6/$B$5/1000</f>
        <v>2508.54545454545</v>
      </c>
      <c r="H25" s="9" t="n">
        <v>2900</v>
      </c>
      <c r="I25" s="63" t="n">
        <f aca="false">$B$7+$B$9+2900*$B$10</f>
        <v>4.48</v>
      </c>
      <c r="J25" s="64" t="str">
        <f aca="false">IF($B$7+$B$9+2900*$B$10&lt;=$B$8,"✓ AU","US/EU")</f>
        <v>✓ AU</v>
      </c>
    </row>
    <row r="26" customFormat="false" ht="15" hidden="false" customHeight="true" outlineLevel="0" collapsed="false">
      <c r="A26" s="59" t="s">
        <v>254</v>
      </c>
      <c r="B26" s="60" t="s">
        <v>249</v>
      </c>
      <c r="C26" s="9" t="n">
        <v>35</v>
      </c>
      <c r="D26" s="52" t="n">
        <v>5.8</v>
      </c>
      <c r="E26" s="61" t="n">
        <v>0.3</v>
      </c>
      <c r="F26" s="61" t="n">
        <v>0.75</v>
      </c>
      <c r="G26" s="62" t="n">
        <f aca="false">35*1000*8760*$B$6/$B$5/1000</f>
        <v>1951.09090909091</v>
      </c>
      <c r="H26" s="9" t="n">
        <v>4100</v>
      </c>
      <c r="I26" s="63" t="n">
        <f aca="false">$B$7+$B$9+4100*$B$10</f>
        <v>4.72</v>
      </c>
      <c r="J26" s="64" t="str">
        <f aca="false">IF($B$7+$B$9+4100*$B$10&lt;=$B$8,"✓ AU","US/EU")</f>
        <v>✓ AU</v>
      </c>
    </row>
    <row r="27" customFormat="false" ht="15" hidden="false" customHeight="true" outlineLevel="0" collapsed="false">
      <c r="A27" s="59" t="s">
        <v>255</v>
      </c>
      <c r="B27" s="60" t="s">
        <v>249</v>
      </c>
      <c r="C27" s="9" t="n">
        <v>20</v>
      </c>
      <c r="D27" s="52" t="n">
        <v>5.5</v>
      </c>
      <c r="E27" s="61" t="n">
        <v>0.32</v>
      </c>
      <c r="F27" s="61" t="n">
        <v>0.8</v>
      </c>
      <c r="G27" s="62" t="n">
        <f aca="false">20*1000*8760*$B$6/$B$5/1000</f>
        <v>1114.90909090909</v>
      </c>
      <c r="H27" s="9" t="n">
        <v>3800</v>
      </c>
      <c r="I27" s="63" t="n">
        <f aca="false">$B$7+$B$9+3800*$B$10</f>
        <v>4.66</v>
      </c>
      <c r="J27" s="64" t="str">
        <f aca="false">IF($B$7+$B$9+3800*$B$10&lt;=$B$8,"✓ AU","US/EU")</f>
        <v>✓ AU</v>
      </c>
    </row>
    <row r="28" customFormat="false" ht="15" hidden="false" customHeight="true" outlineLevel="0" collapsed="false">
      <c r="A28" s="59" t="s">
        <v>256</v>
      </c>
      <c r="B28" s="60" t="s">
        <v>249</v>
      </c>
      <c r="C28" s="9" t="n">
        <v>25</v>
      </c>
      <c r="D28" s="52" t="n">
        <v>6.2</v>
      </c>
      <c r="E28" s="61" t="n">
        <v>0.4</v>
      </c>
      <c r="F28" s="61" t="n">
        <v>0.98</v>
      </c>
      <c r="G28" s="62" t="n">
        <f aca="false">25*1000*8760*$B$6/$B$5/1000</f>
        <v>1393.63636363636</v>
      </c>
      <c r="H28" s="9" t="n">
        <v>4500</v>
      </c>
      <c r="I28" s="63" t="n">
        <f aca="false">$B$7+$B$9+4500*$B$10</f>
        <v>4.8</v>
      </c>
      <c r="J28" s="64" t="str">
        <f aca="false">IF($B$7+$B$9+4500*$B$10&lt;=$B$8,"✓ AU","US/EU")</f>
        <v>✓ AU</v>
      </c>
    </row>
    <row r="29" customFormat="false" ht="15" hidden="false" customHeight="true" outlineLevel="0" collapsed="false">
      <c r="A29" s="59" t="s">
        <v>257</v>
      </c>
      <c r="B29" s="60" t="s">
        <v>249</v>
      </c>
      <c r="C29" s="9" t="n">
        <v>18</v>
      </c>
      <c r="D29" s="52" t="n">
        <v>5.1</v>
      </c>
      <c r="E29" s="61" t="n">
        <v>0.22</v>
      </c>
      <c r="F29" s="61" t="n">
        <v>0.98</v>
      </c>
      <c r="G29" s="62" t="n">
        <f aca="false">18*1000*8760*$B$6/$B$5/1000</f>
        <v>1003.41818181818</v>
      </c>
      <c r="H29" s="9" t="n">
        <v>4800</v>
      </c>
      <c r="I29" s="63" t="n">
        <f aca="false">$B$7+$B$9+4800*$B$10</f>
        <v>4.86</v>
      </c>
      <c r="J29" s="64" t="str">
        <f aca="false">IF($B$7+$B$9+4800*$B$10&lt;=$B$8,"✓ AU","US/EU")</f>
        <v>✓ AU</v>
      </c>
    </row>
    <row r="30" customFormat="false" ht="15" hidden="false" customHeight="true" outlineLevel="0" collapsed="false">
      <c r="A30" s="59" t="s">
        <v>258</v>
      </c>
      <c r="B30" s="60" t="s">
        <v>249</v>
      </c>
      <c r="C30" s="9" t="n">
        <v>8</v>
      </c>
      <c r="D30" s="52" t="n">
        <v>5.9</v>
      </c>
      <c r="E30" s="61" t="n">
        <v>0.38</v>
      </c>
      <c r="F30" s="61" t="n">
        <v>0.99</v>
      </c>
      <c r="G30" s="62" t="n">
        <f aca="false">8*1000*8760*$B$6/$B$5/1000</f>
        <v>445.963636363636</v>
      </c>
      <c r="H30" s="9" t="n">
        <v>5200</v>
      </c>
      <c r="I30" s="63" t="n">
        <f aca="false">$B$7+$B$9+5200*$B$10</f>
        <v>4.94</v>
      </c>
      <c r="J30" s="64" t="str">
        <f aca="false">IF($B$7+$B$9+5200*$B$10&lt;=$B$8,"✓ AU","US/EU")</f>
        <v>✓ AU</v>
      </c>
    </row>
    <row r="31" customFormat="false" ht="15" hidden="false" customHeight="true" outlineLevel="0" collapsed="false">
      <c r="A31" s="59" t="s">
        <v>259</v>
      </c>
      <c r="B31" s="60" t="s">
        <v>249</v>
      </c>
      <c r="C31" s="9" t="n">
        <v>6</v>
      </c>
      <c r="D31" s="52" t="n">
        <v>5</v>
      </c>
      <c r="E31" s="61" t="n">
        <v>0.2</v>
      </c>
      <c r="F31" s="61" t="n">
        <v>0.98</v>
      </c>
      <c r="G31" s="62" t="n">
        <f aca="false">6*1000*8760*$B$6/$B$5/1000</f>
        <v>334.472727272727</v>
      </c>
      <c r="H31" s="9" t="n">
        <v>3200</v>
      </c>
      <c r="I31" s="63" t="n">
        <f aca="false">$B$7+$B$9+3200*$B$10</f>
        <v>4.54</v>
      </c>
      <c r="J31" s="64" t="str">
        <f aca="false">IF($B$7+$B$9+3200*$B$10&lt;=$B$8,"✓ AU","US/EU")</f>
        <v>✓ AU</v>
      </c>
    </row>
    <row r="32" customFormat="false" ht="15" hidden="false" customHeight="true" outlineLevel="0" collapsed="false">
      <c r="A32" s="59" t="s">
        <v>260</v>
      </c>
      <c r="B32" s="60" t="s">
        <v>249</v>
      </c>
      <c r="C32" s="9" t="n">
        <v>5</v>
      </c>
      <c r="D32" s="52" t="n">
        <v>5.5</v>
      </c>
      <c r="E32" s="61" t="n">
        <v>0.3</v>
      </c>
      <c r="F32" s="61" t="n">
        <v>0.85</v>
      </c>
      <c r="G32" s="62" t="n">
        <f aca="false">5*1000*8760*$B$6/$B$5/1000</f>
        <v>278.727272727273</v>
      </c>
      <c r="H32" s="9" t="n">
        <v>4700</v>
      </c>
      <c r="I32" s="63" t="n">
        <f aca="false">$B$7+$B$9+4700*$B$10</f>
        <v>4.84</v>
      </c>
      <c r="J32" s="64" t="str">
        <f aca="false">IF($B$7+$B$9+4700*$B$10&lt;=$B$8,"✓ AU","US/EU")</f>
        <v>✓ AU</v>
      </c>
    </row>
    <row r="33" customFormat="false" ht="15" hidden="false" customHeight="true" outlineLevel="0" collapsed="false">
      <c r="A33" s="59" t="s">
        <v>261</v>
      </c>
      <c r="B33" s="60" t="s">
        <v>249</v>
      </c>
      <c r="C33" s="9" t="n">
        <v>4</v>
      </c>
      <c r="D33" s="52" t="n">
        <v>6</v>
      </c>
      <c r="E33" s="61" t="n">
        <v>0.42</v>
      </c>
      <c r="F33" s="61" t="n">
        <v>1</v>
      </c>
      <c r="G33" s="62" t="n">
        <f aca="false">4*1000*8760*$B$6/$B$5/1000</f>
        <v>222.981818181818</v>
      </c>
      <c r="H33" s="9" t="n">
        <v>3900</v>
      </c>
      <c r="I33" s="63" t="n">
        <f aca="false">$B$7+$B$9+3900*$B$10</f>
        <v>4.68</v>
      </c>
      <c r="J33" s="64" t="str">
        <f aca="false">IF($B$7+$B$9+3900*$B$10&lt;=$B$8,"✓ AU","US/EU")</f>
        <v>✓ AU</v>
      </c>
    </row>
    <row r="34" customFormat="false" ht="15" hidden="false" customHeight="true" outlineLevel="0" collapsed="false">
      <c r="A34" s="59" t="s">
        <v>262</v>
      </c>
      <c r="B34" s="60" t="s">
        <v>249</v>
      </c>
      <c r="C34" s="9" t="n">
        <v>3</v>
      </c>
      <c r="D34" s="52" t="n">
        <v>6.1</v>
      </c>
      <c r="E34" s="61" t="n">
        <v>0.38</v>
      </c>
      <c r="F34" s="61" t="n">
        <v>1</v>
      </c>
      <c r="G34" s="62" t="n">
        <f aca="false">3*1000*8760*$B$6/$B$5/1000</f>
        <v>167.236363636364</v>
      </c>
      <c r="H34" s="9" t="n">
        <v>4100</v>
      </c>
      <c r="I34" s="63" t="n">
        <f aca="false">$B$7+$B$9+4100*$B$10</f>
        <v>4.72</v>
      </c>
      <c r="J34" s="64" t="str">
        <f aca="false">IF($B$7+$B$9+4100*$B$10&lt;=$B$8,"✓ AU","US/EU")</f>
        <v>✓ AU</v>
      </c>
    </row>
    <row r="35" customFormat="false" ht="15" hidden="false" customHeight="true" outlineLevel="0" collapsed="false">
      <c r="A35" s="59" t="s">
        <v>263</v>
      </c>
      <c r="B35" s="60" t="s">
        <v>249</v>
      </c>
      <c r="C35" s="9" t="n">
        <v>1</v>
      </c>
      <c r="D35" s="52" t="n">
        <v>5.2</v>
      </c>
      <c r="E35" s="61" t="n">
        <v>0.28</v>
      </c>
      <c r="F35" s="61" t="n">
        <v>0.9</v>
      </c>
      <c r="G35" s="62" t="n">
        <f aca="false">1*1000*8760*$B$6/$B$5/1000</f>
        <v>55.7454545454545</v>
      </c>
      <c r="H35" s="9" t="n">
        <v>4900</v>
      </c>
      <c r="I35" s="63" t="n">
        <f aca="false">$B$7+$B$9+4900*$B$10</f>
        <v>4.88</v>
      </c>
      <c r="J35" s="64" t="str">
        <f aca="false">IF($B$7+$B$9+4900*$B$10&lt;=$B$8,"✓ AU","US/EU")</f>
        <v>✓ AU</v>
      </c>
    </row>
    <row r="36" customFormat="false" ht="15" hidden="false" customHeight="true" outlineLevel="0" collapsed="false">
      <c r="A36" s="59" t="s">
        <v>264</v>
      </c>
      <c r="B36" s="65" t="s">
        <v>265</v>
      </c>
      <c r="C36" s="9" t="n">
        <v>200</v>
      </c>
      <c r="D36" s="52" t="n">
        <v>5.2</v>
      </c>
      <c r="E36" s="61" t="n">
        <v>0.25</v>
      </c>
      <c r="F36" s="61" t="n">
        <v>0.2</v>
      </c>
      <c r="G36" s="62" t="n">
        <f aca="false">200*1000*8760*$B$6/$B$5/1000</f>
        <v>11149.0909090909</v>
      </c>
      <c r="H36" s="9" t="n">
        <v>17800</v>
      </c>
      <c r="I36" s="63" t="n">
        <f aca="false">$B$7+$B$9+17800*$B$10</f>
        <v>7.46</v>
      </c>
      <c r="J36" s="66" t="str">
        <f aca="false">IF($B$7+$B$9+17800*$B$10&lt;=$B$8,"✓ AU","US/EU")</f>
        <v>US/EU</v>
      </c>
    </row>
    <row r="37" customFormat="false" ht="15" hidden="false" customHeight="true" outlineLevel="0" collapsed="false">
      <c r="A37" s="59" t="s">
        <v>266</v>
      </c>
      <c r="B37" s="65" t="s">
        <v>265</v>
      </c>
      <c r="C37" s="9" t="n">
        <v>180</v>
      </c>
      <c r="D37" s="52" t="n">
        <v>5.6</v>
      </c>
      <c r="E37" s="61" t="n">
        <v>0.32</v>
      </c>
      <c r="F37" s="61" t="n">
        <v>0.85</v>
      </c>
      <c r="G37" s="62" t="n">
        <f aca="false">180*1000*8760*$B$6/$B$5/1000</f>
        <v>10034.1818181818</v>
      </c>
      <c r="H37" s="9" t="n">
        <v>16400</v>
      </c>
      <c r="I37" s="63" t="n">
        <f aca="false">$B$7+$B$9+16400*$B$10</f>
        <v>7.18</v>
      </c>
      <c r="J37" s="66" t="str">
        <f aca="false">IF($B$7+$B$9+16400*$B$10&lt;=$B$8,"✓ AU","US/EU")</f>
        <v>US/EU</v>
      </c>
    </row>
    <row r="38" customFormat="false" ht="15" hidden="false" customHeight="true" outlineLevel="0" collapsed="false">
      <c r="A38" s="59" t="s">
        <v>267</v>
      </c>
      <c r="B38" s="65" t="s">
        <v>265</v>
      </c>
      <c r="C38" s="9" t="n">
        <v>110</v>
      </c>
      <c r="D38" s="52" t="n">
        <v>5</v>
      </c>
      <c r="E38" s="61" t="n">
        <v>0.35</v>
      </c>
      <c r="F38" s="61" t="n">
        <v>0.45</v>
      </c>
      <c r="G38" s="62" t="n">
        <f aca="false">110*1000*8760*$B$6/$B$5/1000</f>
        <v>6132</v>
      </c>
      <c r="H38" s="9" t="n">
        <v>17600</v>
      </c>
      <c r="I38" s="63" t="n">
        <f aca="false">$B$7+$B$9+17600*$B$10</f>
        <v>7.42</v>
      </c>
      <c r="J38" s="66" t="str">
        <f aca="false">IF($B$7+$B$9+17600*$B$10&lt;=$B$8,"✓ AU","US/EU")</f>
        <v>US/EU</v>
      </c>
    </row>
    <row r="39" customFormat="false" ht="15" hidden="false" customHeight="true" outlineLevel="0" collapsed="false">
      <c r="A39" s="59" t="s">
        <v>268</v>
      </c>
      <c r="B39" s="65" t="s">
        <v>265</v>
      </c>
      <c r="C39" s="9" t="n">
        <v>85</v>
      </c>
      <c r="D39" s="52" t="n">
        <v>4.8</v>
      </c>
      <c r="E39" s="61" t="n">
        <v>0.3</v>
      </c>
      <c r="F39" s="61" t="n">
        <v>0.4</v>
      </c>
      <c r="G39" s="62" t="n">
        <f aca="false">85*1000*8760*$B$6/$B$5/1000</f>
        <v>4738.36363636364</v>
      </c>
      <c r="H39" s="9" t="n">
        <v>17800</v>
      </c>
      <c r="I39" s="63" t="n">
        <f aca="false">$B$7+$B$9+17800*$B$10</f>
        <v>7.46</v>
      </c>
      <c r="J39" s="66" t="str">
        <f aca="false">IF($B$7+$B$9+17800*$B$10&lt;=$B$8,"✓ AU","US/EU")</f>
        <v>US/EU</v>
      </c>
    </row>
    <row r="40" customFormat="false" ht="15" hidden="false" customHeight="true" outlineLevel="0" collapsed="false">
      <c r="A40" s="59" t="s">
        <v>269</v>
      </c>
      <c r="B40" s="65" t="s">
        <v>265</v>
      </c>
      <c r="C40" s="9" t="n">
        <v>95</v>
      </c>
      <c r="D40" s="52" t="n">
        <v>5.4</v>
      </c>
      <c r="E40" s="61" t="n">
        <v>0.3</v>
      </c>
      <c r="F40" s="61" t="n">
        <v>0.8</v>
      </c>
      <c r="G40" s="62" t="n">
        <f aca="false">95*1000*8760*$B$6/$B$5/1000</f>
        <v>5295.81818181818</v>
      </c>
      <c r="H40" s="9" t="n">
        <v>16500</v>
      </c>
      <c r="I40" s="63" t="n">
        <f aca="false">$B$7+$B$9+16500*$B$10</f>
        <v>7.2</v>
      </c>
      <c r="J40" s="66" t="str">
        <f aca="false">IF($B$7+$B$9+16500*$B$10&lt;=$B$8,"✓ AU","US/EU")</f>
        <v>US/EU</v>
      </c>
    </row>
    <row r="41" customFormat="false" ht="15" hidden="false" customHeight="true" outlineLevel="0" collapsed="false">
      <c r="A41" s="59" t="s">
        <v>270</v>
      </c>
      <c r="B41" s="65" t="s">
        <v>265</v>
      </c>
      <c r="C41" s="9" t="n">
        <v>60</v>
      </c>
      <c r="D41" s="52" t="n">
        <v>5.8</v>
      </c>
      <c r="E41" s="61" t="n">
        <v>0.35</v>
      </c>
      <c r="F41" s="61" t="n">
        <v>0.98</v>
      </c>
      <c r="G41" s="62" t="n">
        <f aca="false">60*1000*8760*$B$6/$B$5/1000</f>
        <v>3344.72727272727</v>
      </c>
      <c r="H41" s="9" t="n">
        <v>15800</v>
      </c>
      <c r="I41" s="63" t="n">
        <f aca="false">$B$7+$B$9+15800*$B$10</f>
        <v>7.06</v>
      </c>
      <c r="J41" s="66" t="str">
        <f aca="false">IF($B$7+$B$9+15800*$B$10&lt;=$B$8,"✓ AU","US/EU")</f>
        <v>US/EU</v>
      </c>
    </row>
    <row r="42" customFormat="false" ht="15" hidden="false" customHeight="true" outlineLevel="0" collapsed="false">
      <c r="A42" s="59" t="s">
        <v>271</v>
      </c>
      <c r="B42" s="65" t="s">
        <v>265</v>
      </c>
      <c r="C42" s="9" t="n">
        <v>55</v>
      </c>
      <c r="D42" s="52" t="n">
        <v>5.5</v>
      </c>
      <c r="E42" s="61" t="n">
        <v>0.28</v>
      </c>
      <c r="F42" s="61" t="n">
        <v>0.55</v>
      </c>
      <c r="G42" s="62" t="n">
        <f aca="false">55*1000*8760*$B$6/$B$5/1000</f>
        <v>3066</v>
      </c>
      <c r="H42" s="9" t="n">
        <v>16200</v>
      </c>
      <c r="I42" s="63" t="n">
        <f aca="false">$B$7+$B$9+16200*$B$10</f>
        <v>7.14</v>
      </c>
      <c r="J42" s="66" t="str">
        <f aca="false">IF($B$7+$B$9+16200*$B$10&lt;=$B$8,"✓ AU","US/EU")</f>
        <v>US/EU</v>
      </c>
    </row>
    <row r="43" customFormat="false" ht="15" hidden="false" customHeight="true" outlineLevel="0" collapsed="false">
      <c r="A43" s="59" t="s">
        <v>272</v>
      </c>
      <c r="B43" s="65" t="s">
        <v>265</v>
      </c>
      <c r="C43" s="9" t="n">
        <v>25</v>
      </c>
      <c r="D43" s="52" t="n">
        <v>5.6</v>
      </c>
      <c r="E43" s="61" t="n">
        <v>0.3</v>
      </c>
      <c r="F43" s="61" t="n">
        <v>0.95</v>
      </c>
      <c r="G43" s="62" t="n">
        <f aca="false">25*1000*8760*$B$6/$B$5/1000</f>
        <v>1393.63636363636</v>
      </c>
      <c r="H43" s="9" t="n">
        <v>17100</v>
      </c>
      <c r="I43" s="63" t="n">
        <f aca="false">$B$7+$B$9+17100*$B$10</f>
        <v>7.32</v>
      </c>
      <c r="J43" s="66" t="str">
        <f aca="false">IF($B$7+$B$9+17100*$B$10&lt;=$B$8,"✓ AU","US/EU")</f>
        <v>US/EU</v>
      </c>
    </row>
    <row r="44" customFormat="false" ht="15" hidden="false" customHeight="true" outlineLevel="0" collapsed="false">
      <c r="A44" s="59" t="s">
        <v>273</v>
      </c>
      <c r="B44" s="65" t="s">
        <v>265</v>
      </c>
      <c r="C44" s="9" t="n">
        <v>20</v>
      </c>
      <c r="D44" s="52" t="n">
        <v>5.9</v>
      </c>
      <c r="E44" s="61" t="n">
        <v>0.38</v>
      </c>
      <c r="F44" s="61" t="n">
        <v>0.99</v>
      </c>
      <c r="G44" s="62" t="n">
        <f aca="false">20*1000*8760*$B$6/$B$5/1000</f>
        <v>1114.90909090909</v>
      </c>
      <c r="H44" s="9" t="n">
        <v>16900</v>
      </c>
      <c r="I44" s="63" t="n">
        <f aca="false">$B$7+$B$9+16900*$B$10</f>
        <v>7.28</v>
      </c>
      <c r="J44" s="66" t="str">
        <f aca="false">IF($B$7+$B$9+16900*$B$10&lt;=$B$8,"✓ AU","US/EU")</f>
        <v>US/EU</v>
      </c>
    </row>
    <row r="45" customFormat="false" ht="15" hidden="false" customHeight="true" outlineLevel="0" collapsed="false">
      <c r="A45" s="59" t="s">
        <v>274</v>
      </c>
      <c r="B45" s="65" t="s">
        <v>265</v>
      </c>
      <c r="C45" s="9" t="n">
        <v>18</v>
      </c>
      <c r="D45" s="52" t="n">
        <v>5.6</v>
      </c>
      <c r="E45" s="61" t="n">
        <v>0.32</v>
      </c>
      <c r="F45" s="61" t="n">
        <v>0.9</v>
      </c>
      <c r="G45" s="62" t="n">
        <f aca="false">18*1000*8760*$B$6/$B$5/1000</f>
        <v>1003.41818181818</v>
      </c>
      <c r="H45" s="9" t="n">
        <v>17500</v>
      </c>
      <c r="I45" s="63" t="n">
        <f aca="false">$B$7+$B$9+17500*$B$10</f>
        <v>7.4</v>
      </c>
      <c r="J45" s="66" t="str">
        <f aca="false">IF($B$7+$B$9+17500*$B$10&lt;=$B$8,"✓ AU","US/EU")</f>
        <v>US/EU</v>
      </c>
    </row>
    <row r="46" customFormat="false" ht="15" hidden="false" customHeight="true" outlineLevel="0" collapsed="false">
      <c r="A46" s="59" t="s">
        <v>275</v>
      </c>
      <c r="B46" s="65" t="s">
        <v>265</v>
      </c>
      <c r="C46" s="9" t="n">
        <v>18</v>
      </c>
      <c r="D46" s="52" t="n">
        <v>5.5</v>
      </c>
      <c r="E46" s="61" t="n">
        <v>0.28</v>
      </c>
      <c r="F46" s="61" t="n">
        <v>0.9</v>
      </c>
      <c r="G46" s="62" t="n">
        <f aca="false">18*1000*8760*$B$6/$B$5/1000</f>
        <v>1003.41818181818</v>
      </c>
      <c r="H46" s="9" t="n">
        <v>17300</v>
      </c>
      <c r="I46" s="63" t="n">
        <f aca="false">$B$7+$B$9+17300*$B$10</f>
        <v>7.36</v>
      </c>
      <c r="J46" s="66" t="str">
        <f aca="false">IF($B$7+$B$9+17300*$B$10&lt;=$B$8,"✓ AU","US/EU")</f>
        <v>US/EU</v>
      </c>
    </row>
    <row r="47" customFormat="false" ht="15" hidden="false" customHeight="true" outlineLevel="0" collapsed="false">
      <c r="A47" s="59" t="s">
        <v>276</v>
      </c>
      <c r="B47" s="65" t="s">
        <v>265</v>
      </c>
      <c r="C47" s="9" t="n">
        <v>15</v>
      </c>
      <c r="D47" s="52" t="n">
        <v>5</v>
      </c>
      <c r="E47" s="61" t="n">
        <v>0.3</v>
      </c>
      <c r="F47" s="61" t="n">
        <v>0.4</v>
      </c>
      <c r="G47" s="62" t="n">
        <f aca="false">15*1000*8760*$B$6/$B$5/1000</f>
        <v>836.181818181818</v>
      </c>
      <c r="H47" s="9" t="n">
        <v>17000</v>
      </c>
      <c r="I47" s="63" t="n">
        <f aca="false">$B$7+$B$9+17000*$B$10</f>
        <v>7.3</v>
      </c>
      <c r="J47" s="66" t="str">
        <f aca="false">IF($B$7+$B$9+17000*$B$10&lt;=$B$8,"✓ AU","US/EU")</f>
        <v>US/EU</v>
      </c>
    </row>
    <row r="48" customFormat="false" ht="15" hidden="false" customHeight="true" outlineLevel="0" collapsed="false">
      <c r="A48" s="59" t="s">
        <v>277</v>
      </c>
      <c r="B48" s="65" t="s">
        <v>265</v>
      </c>
      <c r="C48" s="9" t="n">
        <v>12</v>
      </c>
      <c r="D48" s="52" t="n">
        <v>5.8</v>
      </c>
      <c r="E48" s="61" t="n">
        <v>0.35</v>
      </c>
      <c r="F48" s="61" t="n">
        <v>0.99</v>
      </c>
      <c r="G48" s="62" t="n">
        <f aca="false">12*1000*8760*$B$6/$B$5/1000</f>
        <v>668.945454545455</v>
      </c>
      <c r="H48" s="9" t="n">
        <v>16800</v>
      </c>
      <c r="I48" s="63" t="n">
        <f aca="false">$B$7+$B$9+16800*$B$10</f>
        <v>7.26</v>
      </c>
      <c r="J48" s="66" t="str">
        <f aca="false">IF($B$7+$B$9+16800*$B$10&lt;=$B$8,"✓ AU","US/EU")</f>
        <v>US/EU</v>
      </c>
    </row>
    <row r="49" customFormat="false" ht="15" hidden="false" customHeight="true" outlineLevel="0" collapsed="false">
      <c r="A49" s="67" t="s">
        <v>278</v>
      </c>
      <c r="B49" s="65" t="s">
        <v>265</v>
      </c>
      <c r="C49" s="9" t="n">
        <v>45</v>
      </c>
      <c r="D49" s="52" t="n">
        <v>5.8</v>
      </c>
      <c r="E49" s="61" t="n">
        <v>0.28</v>
      </c>
      <c r="F49" s="61" t="n">
        <v>0.98</v>
      </c>
      <c r="G49" s="62" t="n">
        <f aca="false">45*1000*8760*$B$6/$B$5/1000</f>
        <v>2508.54545454545</v>
      </c>
      <c r="H49" s="9" t="n">
        <v>17200</v>
      </c>
      <c r="I49" s="63" t="n">
        <f aca="false">$B$7+$B$9+17200*$B$10</f>
        <v>7.34</v>
      </c>
      <c r="J49" s="66" t="str">
        <f aca="false">IF($B$7+$B$9+17200*$B$10&lt;=$B$8,"✓ AU","US/EU")</f>
        <v>US/EU</v>
      </c>
    </row>
    <row r="50" customFormat="false" ht="15" hidden="false" customHeight="true" outlineLevel="0" collapsed="false">
      <c r="A50" s="68" t="s">
        <v>279</v>
      </c>
      <c r="B50" s="69" t="s">
        <v>265</v>
      </c>
      <c r="C50" s="70" t="n">
        <v>2</v>
      </c>
      <c r="D50" s="71" t="n">
        <v>5.7</v>
      </c>
      <c r="E50" s="71" t="n">
        <v>0.3</v>
      </c>
      <c r="F50" s="71" t="n">
        <v>0.99</v>
      </c>
      <c r="G50" s="71" t="n">
        <v>111</v>
      </c>
      <c r="H50" s="71" t="n">
        <v>17000</v>
      </c>
      <c r="I50" s="71" t="n">
        <v>7.3</v>
      </c>
      <c r="J50" s="71" t="s">
        <v>280</v>
      </c>
    </row>
    <row r="51" customFormat="false" ht="15.75" hidden="false" customHeight="true" outlineLevel="0" collapsed="false">
      <c r="A51" s="72" t="s">
        <v>281</v>
      </c>
      <c r="B51" s="73" t="s">
        <v>282</v>
      </c>
      <c r="C51" s="74" t="n">
        <f aca="false">SUM(C21:C49)</f>
        <v>1823</v>
      </c>
      <c r="D51" s="73" t="s">
        <v>83</v>
      </c>
      <c r="E51" s="73" t="s">
        <v>83</v>
      </c>
      <c r="F51" s="73" t="s">
        <v>83</v>
      </c>
      <c r="G51" s="74" t="n">
        <f aca="false">SUM(G21:G49)</f>
        <v>101623.963636364</v>
      </c>
      <c r="H51" s="73" t="s">
        <v>83</v>
      </c>
      <c r="I51" s="73" t="s">
        <v>83</v>
      </c>
      <c r="J51" s="73" t="s">
        <v>83</v>
      </c>
    </row>
    <row r="52" customFormat="false" ht="15" hidden="false" customHeight="true" outlineLevel="0" collapsed="false">
      <c r="A52" s="75" t="s">
        <v>283</v>
      </c>
      <c r="B52" s="76" t="s">
        <v>83</v>
      </c>
      <c r="C52" s="76" t="s">
        <v>83</v>
      </c>
      <c r="D52" s="76" t="s">
        <v>83</v>
      </c>
      <c r="E52" s="76" t="s">
        <v>83</v>
      </c>
      <c r="F52" s="76" t="s">
        <v>83</v>
      </c>
      <c r="G52" s="77" t="n">
        <f aca="false">SUM(G21:G35)</f>
        <v>49334.7272727273</v>
      </c>
      <c r="H52" s="76" t="s">
        <v>83</v>
      </c>
      <c r="I52" s="76" t="s">
        <v>83</v>
      </c>
      <c r="J52" s="76" t="s">
        <v>83</v>
      </c>
    </row>
    <row r="53" customFormat="false" ht="15" hidden="false" customHeight="true" outlineLevel="0" collapsed="false">
      <c r="A53" s="78"/>
      <c r="B53" s="78"/>
      <c r="C53" s="78"/>
      <c r="D53" s="78"/>
      <c r="E53" s="78"/>
      <c r="F53" s="78"/>
      <c r="G53" s="78"/>
      <c r="H53" s="78"/>
      <c r="I53" s="78"/>
      <c r="J53" s="78"/>
    </row>
    <row r="54" customFormat="false" ht="90.75" hidden="false" customHeight="true" outlineLevel="0" collapsed="false">
      <c r="A54" s="79" t="s">
        <v>284</v>
      </c>
    </row>
  </sheetData>
  <mergeCells count="12">
    <mergeCell ref="A1:J1"/>
    <mergeCell ref="A2:J2"/>
    <mergeCell ref="A4:E4"/>
    <mergeCell ref="C5:E10"/>
    <mergeCell ref="A12:E12"/>
    <mergeCell ref="B13:E13"/>
    <mergeCell ref="B14:E14"/>
    <mergeCell ref="B15:E15"/>
    <mergeCell ref="B16:E16"/>
    <mergeCell ref="B17:E17"/>
    <mergeCell ref="A19:J19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30"/>
  </cols>
  <sheetData>
    <row r="1" customFormat="false" ht="36" hidden="false" customHeight="true" outlineLevel="0" collapsed="false">
      <c r="A1" s="21" t="s">
        <v>285</v>
      </c>
      <c r="B1" s="21"/>
      <c r="C1" s="21"/>
    </row>
    <row r="2" customFormat="false" ht="15" hidden="false" customHeight="true" outlineLevel="0" collapsed="false">
      <c r="A2" s="51" t="s">
        <v>286</v>
      </c>
      <c r="B2" s="51"/>
      <c r="C2" s="51"/>
    </row>
    <row r="4" customFormat="false" ht="18" hidden="false" customHeight="true" outlineLevel="0" collapsed="false">
      <c r="A4" s="4" t="s">
        <v>287</v>
      </c>
      <c r="B4" s="4"/>
      <c r="C4" s="4"/>
    </row>
    <row r="5" customFormat="false" ht="15.75" hidden="false" customHeight="true" outlineLevel="0" collapsed="false">
      <c r="A5" s="5" t="s">
        <v>288</v>
      </c>
      <c r="B5" s="52" t="n">
        <v>4.8</v>
      </c>
      <c r="C5" s="79" t="s">
        <v>289</v>
      </c>
    </row>
    <row r="6" customFormat="false" ht="15.75" hidden="false" customHeight="true" outlineLevel="0" collapsed="false">
      <c r="A6" s="5" t="s">
        <v>290</v>
      </c>
      <c r="B6" s="9" t="n">
        <v>55</v>
      </c>
      <c r="C6" s="79" t="s">
        <v>291</v>
      </c>
    </row>
    <row r="7" customFormat="false" ht="15.75" hidden="false" customHeight="true" outlineLevel="0" collapsed="false">
      <c r="A7" s="5" t="s">
        <v>292</v>
      </c>
      <c r="B7" s="62" t="n">
        <f aca="false">B5*B6*1000</f>
        <v>264000</v>
      </c>
      <c r="C7" s="80" t="s">
        <v>293</v>
      </c>
    </row>
    <row r="8" customFormat="false" ht="15.75" hidden="false" customHeight="true" outlineLevel="0" collapsed="false">
      <c r="A8" s="5" t="s">
        <v>294</v>
      </c>
      <c r="B8" s="61" t="n">
        <v>0.2</v>
      </c>
      <c r="C8" s="79" t="s">
        <v>295</v>
      </c>
    </row>
    <row r="9" customFormat="false" ht="15.75" hidden="false" customHeight="true" outlineLevel="0" collapsed="false">
      <c r="A9" s="5" t="s">
        <v>296</v>
      </c>
      <c r="B9" s="62" t="n">
        <f aca="false">B7*B8</f>
        <v>52800</v>
      </c>
      <c r="C9" s="79" t="s">
        <v>297</v>
      </c>
    </row>
    <row r="10" customFormat="false" ht="15.75" hidden="false" customHeight="true" outlineLevel="0" collapsed="false">
      <c r="A10" s="5" t="s">
        <v>298</v>
      </c>
      <c r="B10" s="54" t="n">
        <v>3.5</v>
      </c>
      <c r="C10" s="79" t="s">
        <v>299</v>
      </c>
    </row>
    <row r="11" customFormat="false" ht="15.75" hidden="false" customHeight="true" outlineLevel="0" collapsed="false">
      <c r="A11" s="5" t="s">
        <v>300</v>
      </c>
      <c r="B11" s="11" t="n">
        <f aca="false">B9*1000*B10</f>
        <v>184800000</v>
      </c>
      <c r="C11" s="80" t="s">
        <v>301</v>
      </c>
    </row>
    <row r="13" customFormat="false" ht="18" hidden="false" customHeight="true" outlineLevel="0" collapsed="false">
      <c r="A13" s="4" t="s">
        <v>302</v>
      </c>
      <c r="B13" s="4"/>
      <c r="C13" s="4"/>
    </row>
    <row r="14" customFormat="false" ht="19.5" hidden="false" customHeight="true" outlineLevel="0" collapsed="false">
      <c r="A14" s="58" t="s">
        <v>303</v>
      </c>
      <c r="B14" s="58" t="s">
        <v>304</v>
      </c>
      <c r="C14" s="58" t="s">
        <v>305</v>
      </c>
    </row>
    <row r="15" customFormat="false" ht="15" hidden="false" customHeight="true" outlineLevel="0" collapsed="false">
      <c r="A15" s="61" t="n">
        <v>0.05</v>
      </c>
      <c r="B15" s="62" t="n">
        <f aca="false">B7*0.05</f>
        <v>13200</v>
      </c>
      <c r="C15" s="11" t="n">
        <f aca="false">B7*0.05*1000*B10</f>
        <v>46200000</v>
      </c>
    </row>
    <row r="16" customFormat="false" ht="15" hidden="false" customHeight="true" outlineLevel="0" collapsed="false">
      <c r="A16" s="61" t="n">
        <v>0.1</v>
      </c>
      <c r="B16" s="62" t="n">
        <f aca="false">B7*0.1</f>
        <v>26400</v>
      </c>
      <c r="C16" s="11" t="n">
        <f aca="false">B7*0.1*1000*B10</f>
        <v>92400000</v>
      </c>
    </row>
    <row r="17" customFormat="false" ht="15" hidden="false" customHeight="true" outlineLevel="0" collapsed="false">
      <c r="A17" s="61" t="n">
        <v>0.15</v>
      </c>
      <c r="B17" s="62" t="n">
        <f aca="false">B7*0.15</f>
        <v>39600</v>
      </c>
      <c r="C17" s="11" t="n">
        <f aca="false">B7*0.15*1000*B10</f>
        <v>138600000</v>
      </c>
    </row>
    <row r="18" customFormat="false" ht="15" hidden="false" customHeight="true" outlineLevel="0" collapsed="false">
      <c r="A18" s="81" t="n">
        <v>0.2</v>
      </c>
      <c r="B18" s="82" t="n">
        <f aca="false">B7*0.2</f>
        <v>52800</v>
      </c>
      <c r="C18" s="83" t="n">
        <f aca="false">B7*0.2*1000*B10</f>
        <v>184800000</v>
      </c>
    </row>
    <row r="19" customFormat="false" ht="15" hidden="false" customHeight="true" outlineLevel="0" collapsed="false">
      <c r="A19" s="61" t="n">
        <v>0.3</v>
      </c>
      <c r="B19" s="62" t="n">
        <f aca="false">B7*0.3</f>
        <v>79200</v>
      </c>
      <c r="C19" s="11" t="n">
        <f aca="false">B7*0.3*1000*B10</f>
        <v>277200000</v>
      </c>
    </row>
    <row r="20" customFormat="false" ht="15" hidden="false" customHeight="true" outlineLevel="0" collapsed="false">
      <c r="A20" s="61" t="n">
        <v>0.4</v>
      </c>
      <c r="B20" s="62" t="n">
        <f aca="false">B7*0.4</f>
        <v>105600</v>
      </c>
      <c r="C20" s="11" t="n">
        <f aca="false">B7*0.4*1000*B10</f>
        <v>369600000</v>
      </c>
    </row>
    <row r="21" customFormat="false" ht="15" hidden="false" customHeight="true" outlineLevel="0" collapsed="false">
      <c r="A21" s="61" t="n">
        <v>0.5</v>
      </c>
      <c r="B21" s="62" t="n">
        <f aca="false">B7*0.5</f>
        <v>132000</v>
      </c>
      <c r="C21" s="11" t="n">
        <f aca="false">B7*0.5*1000*B10</f>
        <v>462000000</v>
      </c>
    </row>
    <row r="22" customFormat="false" ht="15" hidden="false" customHeight="true" outlineLevel="0" collapsed="false">
      <c r="A22" s="53" t="s">
        <v>306</v>
      </c>
      <c r="B22" s="53"/>
      <c r="C22" s="53"/>
    </row>
    <row r="24" customFormat="false" ht="18" hidden="false" customHeight="true" outlineLevel="0" collapsed="false">
      <c r="A24" s="4" t="s">
        <v>307</v>
      </c>
      <c r="B24" s="4"/>
      <c r="C24" s="4"/>
    </row>
    <row r="25" customFormat="false" ht="15.75" hidden="false" customHeight="true" outlineLevel="0" collapsed="false">
      <c r="A25" s="5" t="s">
        <v>308</v>
      </c>
      <c r="B25" s="11" t="n">
        <f aca="false">'SWF Projection'!C28</f>
        <v>0</v>
      </c>
      <c r="C25" s="79" t="s">
        <v>309</v>
      </c>
    </row>
    <row r="26" customFormat="false" ht="15.75" hidden="false" customHeight="true" outlineLevel="0" collapsed="false">
      <c r="A26" s="5" t="s">
        <v>310</v>
      </c>
      <c r="B26" s="10" t="n">
        <v>0.075</v>
      </c>
      <c r="C26" s="79" t="s">
        <v>311</v>
      </c>
    </row>
    <row r="27" customFormat="false" ht="15.75" hidden="false" customHeight="true" outlineLevel="0" collapsed="false">
      <c r="A27" s="5" t="s">
        <v>312</v>
      </c>
      <c r="B27" s="11" t="n">
        <f aca="false">B25*B26</f>
        <v>0</v>
      </c>
      <c r="C27" s="80" t="s">
        <v>313</v>
      </c>
    </row>
    <row r="28" customFormat="false" ht="15.75" hidden="false" customHeight="true" outlineLevel="0" collapsed="false">
      <c r="A28" s="5" t="s">
        <v>314</v>
      </c>
      <c r="B28" s="61" t="n">
        <v>0.6</v>
      </c>
      <c r="C28" s="79" t="s">
        <v>315</v>
      </c>
    </row>
    <row r="29" customFormat="false" ht="15.75" hidden="false" customHeight="true" outlineLevel="0" collapsed="false">
      <c r="A29" s="5" t="s">
        <v>316</v>
      </c>
      <c r="B29" s="84" t="n">
        <f aca="false">B27*B28</f>
        <v>0</v>
      </c>
      <c r="C29" s="80" t="s">
        <v>317</v>
      </c>
    </row>
    <row r="30" customFormat="false" ht="15.75" hidden="false" customHeight="true" outlineLevel="0" collapsed="false">
      <c r="A30" s="5" t="s">
        <v>318</v>
      </c>
      <c r="B30" s="6" t="n">
        <v>5000000000</v>
      </c>
      <c r="C30" s="79" t="s">
        <v>319</v>
      </c>
    </row>
    <row r="31" customFormat="false" ht="15.75" hidden="false" customHeight="true" outlineLevel="0" collapsed="false">
      <c r="A31" s="5" t="s">
        <v>320</v>
      </c>
      <c r="B31" s="85" t="n">
        <f aca="false">B29/B30</f>
        <v>0</v>
      </c>
      <c r="C31" s="79" t="s">
        <v>321</v>
      </c>
    </row>
    <row r="32" customFormat="false" ht="15.75" hidden="false" customHeight="true" outlineLevel="0" collapsed="false">
      <c r="A32" s="5" t="s">
        <v>322</v>
      </c>
      <c r="B32" s="13" t="n">
        <f aca="false">1540*B31</f>
        <v>0</v>
      </c>
      <c r="C32" s="79" t="s">
        <v>323</v>
      </c>
    </row>
    <row r="33" customFormat="false" ht="21.75" hidden="false" customHeight="true" outlineLevel="0" collapsed="false">
      <c r="A33" s="86" t="s">
        <v>324</v>
      </c>
      <c r="B33" s="86"/>
      <c r="C33" s="86"/>
    </row>
    <row r="35" customFormat="false" ht="18" hidden="false" customHeight="true" outlineLevel="0" collapsed="false">
      <c r="A35" s="4" t="s">
        <v>325</v>
      </c>
      <c r="B35" s="4"/>
      <c r="C35" s="4"/>
    </row>
    <row r="36" customFormat="false" ht="21.75" hidden="false" customHeight="true" outlineLevel="0" collapsed="false">
      <c r="A36" s="58" t="s">
        <v>326</v>
      </c>
      <c r="B36" s="58" t="s">
        <v>327</v>
      </c>
      <c r="C36" s="58" t="s">
        <v>328</v>
      </c>
    </row>
    <row r="37" customFormat="false" ht="15" hidden="false" customHeight="true" outlineLevel="0" collapsed="false">
      <c r="A37" s="87" t="s">
        <v>329</v>
      </c>
      <c r="B37" s="88" t="s">
        <v>330</v>
      </c>
      <c r="C37" s="79" t="s">
        <v>331</v>
      </c>
    </row>
    <row r="38" customFormat="false" ht="15" hidden="false" customHeight="true" outlineLevel="0" collapsed="false">
      <c r="A38" s="87" t="s">
        <v>332</v>
      </c>
      <c r="B38" s="88" t="s">
        <v>333</v>
      </c>
      <c r="C38" s="79" t="s">
        <v>331</v>
      </c>
    </row>
    <row r="39" customFormat="false" ht="15" hidden="false" customHeight="true" outlineLevel="0" collapsed="false">
      <c r="A39" s="87" t="s">
        <v>334</v>
      </c>
      <c r="B39" s="88" t="s">
        <v>335</v>
      </c>
      <c r="C39" s="79" t="s">
        <v>331</v>
      </c>
    </row>
    <row r="40" customFormat="false" ht="15" hidden="false" customHeight="true" outlineLevel="0" collapsed="false">
      <c r="A40" s="87" t="s">
        <v>336</v>
      </c>
      <c r="B40" s="88" t="s">
        <v>337</v>
      </c>
      <c r="C40" s="79" t="s">
        <v>338</v>
      </c>
    </row>
    <row r="41" customFormat="false" ht="15" hidden="false" customHeight="true" outlineLevel="0" collapsed="false">
      <c r="A41" s="87" t="s">
        <v>339</v>
      </c>
      <c r="B41" s="88" t="s">
        <v>340</v>
      </c>
      <c r="C41" s="79" t="s">
        <v>341</v>
      </c>
    </row>
    <row r="42" customFormat="false" ht="15" hidden="false" customHeight="true" outlineLevel="0" collapsed="false">
      <c r="A42" s="87" t="s">
        <v>342</v>
      </c>
      <c r="B42" s="88" t="s">
        <v>343</v>
      </c>
      <c r="C42" s="79" t="s">
        <v>344</v>
      </c>
    </row>
    <row r="43" customFormat="false" ht="15" hidden="false" customHeight="true" outlineLevel="0" collapsed="false">
      <c r="A43" s="87" t="s">
        <v>345</v>
      </c>
      <c r="B43" s="88" t="s">
        <v>346</v>
      </c>
      <c r="C43" s="79" t="s">
        <v>347</v>
      </c>
    </row>
    <row r="44" customFormat="false" ht="15" hidden="false" customHeight="true" outlineLevel="0" collapsed="false">
      <c r="A44" s="87" t="s">
        <v>348</v>
      </c>
      <c r="B44" s="88" t="s">
        <v>349</v>
      </c>
      <c r="C44" s="79" t="s">
        <v>350</v>
      </c>
    </row>
    <row r="45" customFormat="false" ht="15" hidden="false" customHeight="true" outlineLevel="0" collapsed="false">
      <c r="A45" s="87" t="s">
        <v>351</v>
      </c>
      <c r="B45" s="88" t="s">
        <v>352</v>
      </c>
      <c r="C45" s="79" t="s">
        <v>353</v>
      </c>
    </row>
    <row r="46" customFormat="false" ht="15" hidden="false" customHeight="true" outlineLevel="0" collapsed="false">
      <c r="A46" s="87" t="s">
        <v>354</v>
      </c>
      <c r="B46" s="89" t="s">
        <v>355</v>
      </c>
      <c r="C46" s="79" t="s">
        <v>356</v>
      </c>
    </row>
    <row r="48" customFormat="false" ht="18" hidden="false" customHeight="true" outlineLevel="0" collapsed="false">
      <c r="A48" s="4" t="s">
        <v>357</v>
      </c>
      <c r="B48" s="4"/>
      <c r="C48" s="4"/>
    </row>
    <row r="49" customFormat="false" ht="18" hidden="false" customHeight="true" outlineLevel="0" collapsed="false">
      <c r="A49" s="58" t="s">
        <v>358</v>
      </c>
      <c r="B49" s="58" t="s">
        <v>359</v>
      </c>
      <c r="C49" s="58" t="s">
        <v>360</v>
      </c>
    </row>
    <row r="50" customFormat="false" ht="15" hidden="false" customHeight="true" outlineLevel="0" collapsed="false">
      <c r="A50" s="87" t="s">
        <v>361</v>
      </c>
      <c r="B50" s="90" t="s">
        <v>362</v>
      </c>
      <c r="C50" s="79" t="s">
        <v>363</v>
      </c>
    </row>
    <row r="51" customFormat="false" ht="15" hidden="false" customHeight="true" outlineLevel="0" collapsed="false">
      <c r="A51" s="87" t="s">
        <v>364</v>
      </c>
      <c r="B51" s="90" t="s">
        <v>365</v>
      </c>
      <c r="C51" s="79" t="s">
        <v>366</v>
      </c>
    </row>
    <row r="52" customFormat="false" ht="15" hidden="false" customHeight="true" outlineLevel="0" collapsed="false">
      <c r="A52" s="87" t="s">
        <v>367</v>
      </c>
      <c r="B52" s="90" t="s">
        <v>368</v>
      </c>
      <c r="C52" s="79" t="s">
        <v>369</v>
      </c>
    </row>
    <row r="53" customFormat="false" ht="15" hidden="false" customHeight="true" outlineLevel="0" collapsed="false">
      <c r="A53" s="87" t="s">
        <v>370</v>
      </c>
      <c r="B53" s="90" t="s">
        <v>371</v>
      </c>
      <c r="C53" s="79" t="s">
        <v>372</v>
      </c>
    </row>
    <row r="54" customFormat="false" ht="15" hidden="false" customHeight="true" outlineLevel="0" collapsed="false">
      <c r="A54" s="87" t="s">
        <v>373</v>
      </c>
      <c r="B54" s="90" t="s">
        <v>374</v>
      </c>
      <c r="C54" s="79" t="s">
        <v>375</v>
      </c>
    </row>
    <row r="55" customFormat="false" ht="15" hidden="false" customHeight="true" outlineLevel="0" collapsed="false">
      <c r="A55" s="87" t="s">
        <v>376</v>
      </c>
      <c r="B55" s="90" t="s">
        <v>377</v>
      </c>
      <c r="C55" s="79" t="s">
        <v>378</v>
      </c>
    </row>
    <row r="56" customFormat="false" ht="32.25" hidden="false" customHeight="true" outlineLevel="0" collapsed="false">
      <c r="A56" s="86" t="s">
        <v>379</v>
      </c>
      <c r="B56" s="86"/>
      <c r="C56" s="86"/>
    </row>
    <row r="58" customFormat="false" ht="18" hidden="false" customHeight="true" outlineLevel="0" collapsed="false">
      <c r="A58" s="91" t="s">
        <v>380</v>
      </c>
      <c r="B58" s="91"/>
      <c r="C58" s="91"/>
    </row>
    <row r="59" customFormat="false" ht="15" hidden="false" customHeight="true" outlineLevel="0" collapsed="false">
      <c r="A59" s="92" t="s">
        <v>73</v>
      </c>
      <c r="B59" s="92" t="s">
        <v>381</v>
      </c>
      <c r="C59" s="92" t="s">
        <v>135</v>
      </c>
    </row>
    <row r="60" customFormat="false" ht="15" hidden="false" customHeight="true" outlineLevel="0" collapsed="false">
      <c r="A60" s="93" t="s">
        <v>382</v>
      </c>
      <c r="B60" s="94" t="n">
        <v>3.5</v>
      </c>
      <c r="C60" s="95" t="s">
        <v>383</v>
      </c>
    </row>
    <row r="61" customFormat="false" ht="15" hidden="false" customHeight="true" outlineLevel="0" collapsed="false">
      <c r="A61" s="93" t="s">
        <v>384</v>
      </c>
      <c r="B61" s="94" t="n">
        <v>2.5</v>
      </c>
      <c r="C61" s="95" t="s">
        <v>385</v>
      </c>
    </row>
    <row r="62" customFormat="false" ht="15" hidden="false" customHeight="true" outlineLevel="0" collapsed="false">
      <c r="A62" s="93" t="s">
        <v>386</v>
      </c>
      <c r="B62" s="94" t="n">
        <v>2</v>
      </c>
      <c r="C62" s="95" t="s">
        <v>387</v>
      </c>
    </row>
    <row r="64" customFormat="false" ht="18" hidden="false" customHeight="true" outlineLevel="0" collapsed="false">
      <c r="A64" s="91" t="s">
        <v>388</v>
      </c>
      <c r="B64" s="91"/>
      <c r="C64" s="91"/>
    </row>
    <row r="65" customFormat="false" ht="19.5" hidden="false" customHeight="true" outlineLevel="0" collapsed="false">
      <c r="A65" s="96" t="s">
        <v>389</v>
      </c>
      <c r="B65" s="96"/>
      <c r="C65" s="96"/>
    </row>
    <row r="66" customFormat="false" ht="19.5" hidden="false" customHeight="true" outlineLevel="0" collapsed="false">
      <c r="A66" s="96" t="s">
        <v>390</v>
      </c>
      <c r="B66" s="96"/>
      <c r="C66" s="96"/>
    </row>
    <row r="67" customFormat="false" ht="19.5" hidden="false" customHeight="true" outlineLevel="0" collapsed="false">
      <c r="A67" s="96" t="s">
        <v>391</v>
      </c>
      <c r="B67" s="96"/>
      <c r="C67" s="96"/>
    </row>
    <row r="68" customFormat="false" ht="19.5" hidden="false" customHeight="true" outlineLevel="0" collapsed="false">
      <c r="A68" s="96" t="s">
        <v>392</v>
      </c>
      <c r="B68" s="96"/>
      <c r="C68" s="96"/>
    </row>
    <row r="69" customFormat="false" ht="19.5" hidden="false" customHeight="true" outlineLevel="0" collapsed="false">
      <c r="A69" s="96" t="s">
        <v>393</v>
      </c>
      <c r="B69" s="96"/>
      <c r="C69" s="96"/>
    </row>
    <row r="70" customFormat="false" ht="19.5" hidden="false" customHeight="true" outlineLevel="0" collapsed="false">
      <c r="A70" s="96" t="s">
        <v>394</v>
      </c>
      <c r="B70" s="96"/>
      <c r="C70" s="96"/>
    </row>
  </sheetData>
  <mergeCells count="18">
    <mergeCell ref="A1:C1"/>
    <mergeCell ref="A2:C2"/>
    <mergeCell ref="A4:C4"/>
    <mergeCell ref="A13:C13"/>
    <mergeCell ref="A22:C22"/>
    <mergeCell ref="A24:C24"/>
    <mergeCell ref="A33:C33"/>
    <mergeCell ref="A35:C35"/>
    <mergeCell ref="A48:C48"/>
    <mergeCell ref="A56:C56"/>
    <mergeCell ref="A58:C58"/>
    <mergeCell ref="A64:C64"/>
    <mergeCell ref="A65:C65"/>
    <mergeCell ref="A66:C66"/>
    <mergeCell ref="A67:C67"/>
    <mergeCell ref="A68:C68"/>
    <mergeCell ref="A69:C69"/>
    <mergeCell ref="A70:C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5" min="4" style="1" width="20"/>
  </cols>
  <sheetData>
    <row r="1" customFormat="false" ht="36" hidden="false" customHeight="true" outlineLevel="0" collapsed="false">
      <c r="A1" s="21" t="s">
        <v>395</v>
      </c>
      <c r="B1" s="21"/>
      <c r="C1" s="21"/>
      <c r="D1" s="21"/>
      <c r="E1" s="21"/>
    </row>
    <row r="2" customFormat="false" ht="15" hidden="false" customHeight="true" outlineLevel="0" collapsed="false">
      <c r="A2" s="51" t="s">
        <v>396</v>
      </c>
      <c r="B2" s="51"/>
      <c r="C2" s="51"/>
      <c r="D2" s="51"/>
      <c r="E2" s="51"/>
    </row>
    <row r="4" customFormat="false" ht="18" hidden="false" customHeight="true" outlineLevel="0" collapsed="false">
      <c r="A4" s="4" t="s">
        <v>397</v>
      </c>
      <c r="B4" s="4"/>
      <c r="C4" s="4"/>
      <c r="D4" s="4"/>
      <c r="E4" s="4"/>
    </row>
    <row r="5" customFormat="false" ht="21.75" hidden="false" customHeight="true" outlineLevel="0" collapsed="false">
      <c r="A5" s="58" t="s">
        <v>398</v>
      </c>
      <c r="B5" s="58" t="s">
        <v>399</v>
      </c>
      <c r="C5" s="58" t="s">
        <v>400</v>
      </c>
      <c r="D5" s="58" t="s">
        <v>401</v>
      </c>
      <c r="E5" s="58" t="s">
        <v>402</v>
      </c>
    </row>
    <row r="6" customFormat="false" ht="27.75" hidden="false" customHeight="true" outlineLevel="0" collapsed="false">
      <c r="A6" s="97" t="s">
        <v>403</v>
      </c>
      <c r="B6" s="90" t="s">
        <v>404</v>
      </c>
      <c r="C6" s="98" t="s">
        <v>405</v>
      </c>
      <c r="D6" s="98" t="s">
        <v>406</v>
      </c>
      <c r="E6" s="98" t="s">
        <v>407</v>
      </c>
    </row>
    <row r="7" customFormat="false" ht="27.75" hidden="false" customHeight="true" outlineLevel="0" collapsed="false">
      <c r="A7" s="97" t="s">
        <v>408</v>
      </c>
      <c r="B7" s="90" t="s">
        <v>404</v>
      </c>
      <c r="C7" s="98" t="s">
        <v>409</v>
      </c>
      <c r="D7" s="98" t="s">
        <v>410</v>
      </c>
      <c r="E7" s="98" t="s">
        <v>411</v>
      </c>
    </row>
    <row r="8" customFormat="false" ht="27.75" hidden="false" customHeight="true" outlineLevel="0" collapsed="false">
      <c r="A8" s="97" t="s">
        <v>412</v>
      </c>
      <c r="B8" s="99" t="s">
        <v>413</v>
      </c>
      <c r="C8" s="98" t="s">
        <v>414</v>
      </c>
      <c r="D8" s="98" t="s">
        <v>415</v>
      </c>
      <c r="E8" s="98" t="s">
        <v>416</v>
      </c>
    </row>
    <row r="9" customFormat="false" ht="27.75" hidden="false" customHeight="true" outlineLevel="0" collapsed="false">
      <c r="A9" s="97" t="s">
        <v>417</v>
      </c>
      <c r="B9" s="99" t="s">
        <v>413</v>
      </c>
      <c r="C9" s="98" t="s">
        <v>418</v>
      </c>
      <c r="D9" s="98" t="s">
        <v>419</v>
      </c>
      <c r="E9" s="98" t="s">
        <v>420</v>
      </c>
    </row>
    <row r="10" customFormat="false" ht="27.75" hidden="false" customHeight="true" outlineLevel="0" collapsed="false">
      <c r="A10" s="97" t="s">
        <v>421</v>
      </c>
      <c r="B10" s="99" t="s">
        <v>413</v>
      </c>
      <c r="C10" s="98" t="s">
        <v>422</v>
      </c>
      <c r="D10" s="98" t="s">
        <v>423</v>
      </c>
      <c r="E10" s="98" t="s">
        <v>424</v>
      </c>
    </row>
    <row r="11" customFormat="false" ht="27.75" hidden="false" customHeight="true" outlineLevel="0" collapsed="false">
      <c r="A11" s="97" t="s">
        <v>425</v>
      </c>
      <c r="B11" s="100" t="s">
        <v>426</v>
      </c>
      <c r="C11" s="98" t="s">
        <v>427</v>
      </c>
      <c r="D11" s="98" t="s">
        <v>428</v>
      </c>
      <c r="E11" s="98" t="s">
        <v>429</v>
      </c>
    </row>
    <row r="12" customFormat="false" ht="27.75" hidden="false" customHeight="true" outlineLevel="0" collapsed="false">
      <c r="A12" s="97" t="s">
        <v>430</v>
      </c>
      <c r="B12" s="100" t="s">
        <v>426</v>
      </c>
      <c r="C12" s="98" t="s">
        <v>431</v>
      </c>
      <c r="D12" s="98" t="s">
        <v>432</v>
      </c>
      <c r="E12" s="98" t="s">
        <v>433</v>
      </c>
    </row>
    <row r="13" customFormat="false" ht="27.75" hidden="false" customHeight="true" outlineLevel="0" collapsed="false">
      <c r="A13" s="97" t="s">
        <v>434</v>
      </c>
      <c r="B13" s="100" t="s">
        <v>426</v>
      </c>
      <c r="C13" s="98" t="s">
        <v>435</v>
      </c>
      <c r="D13" s="98" t="s">
        <v>436</v>
      </c>
      <c r="E13" s="98" t="s">
        <v>437</v>
      </c>
    </row>
    <row r="14" customFormat="false" ht="27.75" hidden="false" customHeight="true" outlineLevel="0" collapsed="false">
      <c r="A14" s="97" t="s">
        <v>438</v>
      </c>
      <c r="B14" s="101" t="s">
        <v>439</v>
      </c>
      <c r="C14" s="98" t="s">
        <v>440</v>
      </c>
      <c r="D14" s="98" t="s">
        <v>441</v>
      </c>
      <c r="E14" s="98" t="s">
        <v>442</v>
      </c>
    </row>
    <row r="15" customFormat="false" ht="27.75" hidden="false" customHeight="true" outlineLevel="0" collapsed="false">
      <c r="A15" s="97" t="s">
        <v>443</v>
      </c>
      <c r="B15" s="101" t="s">
        <v>439</v>
      </c>
      <c r="C15" s="98" t="s">
        <v>444</v>
      </c>
      <c r="D15" s="98" t="s">
        <v>445</v>
      </c>
      <c r="E15" s="98" t="s">
        <v>446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2026-03-02T23:29:26Z</dcterms:created>
  <dc:creator>openpyxl</dc:creator>
  <dc:description/>
  <dc:language>en-US</dc:language>
  <cp:lastModifiedBy/>
  <dcterms:modified xsi:type="dcterms:W3CDTF">2026-03-03T02:41:54Z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